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9020" windowHeight="15700" tabRatio="600" firstSheet="0" activeTab="1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Análisi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 $]#,##0.00"/>
    <numFmt numFmtId="165" formatCode="_-&quot;$&quot;\ * #,##0.00_-;\-&quot;$&quot;\ * #,##0.00_-;_-&quot;$&quot;\ * &quot;-&quot;??_-;_-@_-"/>
  </numFmts>
  <fonts count="19">
    <font>
      <name val="Arial"/>
      <color rgb="FF000000"/>
      <sz val="10"/>
      <scheme val="minor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02060"/>
      <sz val="11"/>
    </font>
    <font>
      <name val="Calibri"/>
      <family val="2"/>
      <color theme="1"/>
      <sz val="11"/>
    </font>
    <font>
      <name val="Calibri"/>
      <family val="2"/>
      <b val="1"/>
      <color theme="0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1155CC"/>
      <sz val="11"/>
    </font>
    <font>
      <name val="Calibri"/>
      <family val="2"/>
      <b val="1"/>
      <color rgb="FFFFFF00"/>
      <sz val="11"/>
    </font>
    <font>
      <name val="Arial"/>
      <family val="2"/>
      <color theme="1"/>
      <sz val="10"/>
      <scheme val="minor"/>
    </font>
    <font>
      <name val="Calibri"/>
      <family val="2"/>
      <color rgb="FFFFFFFF"/>
      <sz val="11"/>
    </font>
    <font>
      <name val="Arial"/>
      <family val="2"/>
      <color rgb="FF000000"/>
      <sz val="10"/>
      <scheme val="minor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Arial"/>
      <color rgb="FF002060"/>
      <sz val="10"/>
      <scheme val="minor"/>
    </font>
    <font>
      <name val="Calibri"/>
      <family val="2"/>
      <b val="1"/>
      <color theme="2"/>
      <sz val="11"/>
    </font>
    <font>
      <name val="Arial"/>
      <family val="2"/>
      <color theme="2"/>
      <sz val="10"/>
      <scheme val="minor"/>
    </font>
    <font>
      <name val="Arial"/>
      <family val="2"/>
      <color rgb="FF000000"/>
      <sz val="11"/>
      <scheme val="minor"/>
    </font>
  </fonts>
  <fills count="19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theme="7"/>
        <bgColor theme="7"/>
      </patternFill>
    </fill>
    <fill>
      <patternFill patternType="solid">
        <fgColor rgb="FFF79646"/>
        <bgColor rgb="FFF79646"/>
      </patternFill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00FFFF"/>
        <bgColor rgb="FF00FFFF"/>
      </patternFill>
    </fill>
    <fill>
      <patternFill patternType="solid">
        <fgColor rgb="FFC00000"/>
        <bgColor rgb="FFC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rgb="FF002060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rgb="FF92D050"/>
      </patternFill>
    </fill>
    <fill>
      <patternFill patternType="solid">
        <fgColor theme="8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44" fontId="12" fillId="0" borderId="0"/>
    <xf numFmtId="9" fontId="12" fillId="0" borderId="0"/>
  </cellStyleXfs>
  <cellXfs count="9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2" borderId="6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10" fontId="2" fillId="0" borderId="4" applyAlignment="1" pivotButton="0" quotePrefix="0" xfId="0">
      <alignment horizontal="center"/>
    </xf>
    <xf numFmtId="10" fontId="2" fillId="3" borderId="4" applyAlignment="1" pivotButton="0" quotePrefix="0" xfId="0">
      <alignment horizontal="center"/>
    </xf>
    <xf numFmtId="0" fontId="3" fillId="2" borderId="5" applyAlignment="1" pivotButton="0" quotePrefix="0" xfId="0">
      <alignment horizontal="center"/>
    </xf>
    <xf numFmtId="0" fontId="4" fillId="4" borderId="6" applyAlignment="1" pivotButton="0" quotePrefix="0" xfId="0">
      <alignment horizontal="center"/>
    </xf>
    <xf numFmtId="10" fontId="5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6" fillId="5" borderId="6" applyAlignment="1" pivotButton="0" quotePrefix="0" xfId="0">
      <alignment horizontal="center"/>
    </xf>
    <xf numFmtId="0" fontId="3" fillId="5" borderId="6" applyAlignment="1" pivotButton="0" quotePrefix="0" xfId="0">
      <alignment horizontal="center"/>
    </xf>
    <xf numFmtId="0" fontId="3" fillId="6" borderId="6" applyAlignment="1" pivotButton="0" quotePrefix="0" xfId="0">
      <alignment horizontal="center"/>
    </xf>
    <xf numFmtId="0" fontId="3" fillId="6" borderId="5" applyAlignment="1" pivotButton="0" quotePrefix="0" xfId="0">
      <alignment horizontal="center"/>
    </xf>
    <xf numFmtId="0" fontId="3" fillId="6" borderId="2" applyAlignment="1" pivotButton="0" quotePrefix="0" xfId="0">
      <alignment horizontal="center"/>
    </xf>
    <xf numFmtId="0" fontId="6" fillId="7" borderId="6" applyAlignment="1" pivotButton="0" quotePrefix="0" xfId="0">
      <alignment horizontal="center"/>
    </xf>
    <xf numFmtId="0" fontId="6" fillId="7" borderId="5" applyAlignment="1" pivotButton="0" quotePrefix="0" xfId="0">
      <alignment horizontal="center"/>
    </xf>
    <xf numFmtId="0" fontId="3" fillId="7" borderId="5" applyAlignment="1" pivotButton="0" quotePrefix="0" xfId="0">
      <alignment horizontal="center"/>
    </xf>
    <xf numFmtId="0" fontId="7" fillId="4" borderId="6" applyAlignment="1" pivotButton="0" quotePrefix="0" xfId="0">
      <alignment horizontal="center"/>
    </xf>
    <xf numFmtId="0" fontId="7" fillId="4" borderId="5" applyAlignment="1" pivotButton="0" quotePrefix="0" xfId="0">
      <alignment horizontal="center"/>
    </xf>
    <xf numFmtId="0" fontId="3" fillId="8" borderId="6" applyAlignment="1" pivotButton="0" quotePrefix="0" xfId="0">
      <alignment horizontal="center"/>
    </xf>
    <xf numFmtId="0" fontId="3" fillId="8" borderId="5" applyAlignment="1" pivotButton="0" quotePrefix="0" xfId="0">
      <alignment horizontal="center"/>
    </xf>
    <xf numFmtId="0" fontId="1" fillId="9" borderId="6" applyAlignment="1" pivotButton="0" quotePrefix="0" xfId="0">
      <alignment horizontal="center"/>
    </xf>
    <xf numFmtId="0" fontId="1" fillId="9" borderId="5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1" fillId="9" borderId="3" applyAlignment="1" pivotButton="0" quotePrefix="0" xfId="0">
      <alignment horizontal="center"/>
    </xf>
    <xf numFmtId="0" fontId="1" fillId="3" borderId="6" applyAlignment="1" pivotButton="0" quotePrefix="0" xfId="0">
      <alignment horizontal="center"/>
    </xf>
    <xf numFmtId="0" fontId="1" fillId="3" borderId="5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4" fillId="10" borderId="6" applyAlignment="1" pivotButton="0" quotePrefix="0" xfId="0">
      <alignment horizontal="center"/>
    </xf>
    <xf numFmtId="0" fontId="8" fillId="11" borderId="6" applyAlignment="1" pivotButton="0" quotePrefix="0" xfId="0">
      <alignment horizontal="center"/>
    </xf>
    <xf numFmtId="0" fontId="9" fillId="2" borderId="6" applyAlignment="1" pivotButton="0" quotePrefix="0" xfId="0">
      <alignment horizontal="center"/>
    </xf>
    <xf numFmtId="0" fontId="7" fillId="3" borderId="6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164" fontId="2" fillId="10" borderId="2" applyAlignment="1" pivotButton="0" quotePrefix="0" xfId="0">
      <alignment horizontal="center"/>
    </xf>
    <xf numFmtId="164" fontId="8" fillId="11" borderId="2" applyAlignment="1" pivotButton="0" quotePrefix="0" xfId="0">
      <alignment horizontal="center"/>
    </xf>
    <xf numFmtId="164" fontId="9" fillId="2" borderId="2" applyAlignment="1" pivotButton="0" quotePrefix="0" xfId="0">
      <alignment horizontal="center"/>
    </xf>
    <xf numFmtId="164" fontId="7" fillId="3" borderId="2" applyAlignment="1" pivotButton="0" quotePrefix="0" xfId="0">
      <alignment horizontal="center"/>
    </xf>
    <xf numFmtId="164" fontId="2" fillId="0" borderId="4" applyAlignment="1" pivotButton="0" quotePrefix="0" xfId="0">
      <alignment horizontal="center"/>
    </xf>
    <xf numFmtId="0" fontId="1" fillId="13" borderId="6" applyAlignment="1" pivotButton="0" quotePrefix="0" xfId="0">
      <alignment horizontal="center"/>
    </xf>
    <xf numFmtId="0" fontId="13" fillId="13" borderId="4" applyAlignment="1" pivotButton="0" quotePrefix="0" xfId="0">
      <alignment horizontal="center"/>
    </xf>
    <xf numFmtId="0" fontId="14" fillId="13" borderId="4" applyAlignment="1" pivotButton="0" quotePrefix="0" xfId="0">
      <alignment horizontal="center"/>
    </xf>
    <xf numFmtId="0" fontId="14" fillId="13" borderId="5" applyAlignment="1" pivotButton="0" quotePrefix="0" xfId="0">
      <alignment horizontal="center"/>
    </xf>
    <xf numFmtId="165" fontId="1" fillId="13" borderId="4" applyAlignment="1" pivotButton="0" quotePrefix="0" xfId="1">
      <alignment horizontal="center"/>
    </xf>
    <xf numFmtId="165" fontId="1" fillId="13" borderId="8" applyAlignment="1" pivotButton="0" quotePrefix="0" xfId="1">
      <alignment horizontal="center"/>
    </xf>
    <xf numFmtId="165" fontId="1" fillId="13" borderId="5" applyAlignment="1" pivotButton="0" quotePrefix="0" xfId="1">
      <alignment horizontal="center"/>
    </xf>
    <xf numFmtId="10" fontId="2" fillId="0" borderId="4" applyAlignment="1" pivotButton="0" quotePrefix="0" xfId="2">
      <alignment horizontal="center"/>
    </xf>
    <xf numFmtId="10" fontId="2" fillId="0" borderId="5" applyAlignment="1" pivotButton="0" quotePrefix="0" xfId="2">
      <alignment horizontal="center"/>
    </xf>
    <xf numFmtId="10" fontId="2" fillId="0" borderId="3" applyAlignment="1" pivotButton="0" quotePrefix="0" xfId="2">
      <alignment horizontal="center"/>
    </xf>
    <xf numFmtId="10" fontId="2" fillId="0" borderId="2" applyAlignment="1" pivotButton="0" quotePrefix="0" xfId="2">
      <alignment horizontal="center"/>
    </xf>
    <xf numFmtId="164" fontId="10" fillId="14" borderId="9" pivotButton="0" quotePrefix="0" xfId="0"/>
    <xf numFmtId="0" fontId="4" fillId="10" borderId="2" applyAlignment="1" pivotButton="0" quotePrefix="0" xfId="0">
      <alignment horizontal="center"/>
    </xf>
    <xf numFmtId="0" fontId="0" fillId="0" borderId="2" pivotButton="0" quotePrefix="0" xfId="0"/>
    <xf numFmtId="0" fontId="9" fillId="2" borderId="3" applyAlignment="1" pivotButton="0" quotePrefix="0" xfId="0">
      <alignment horizontal="center"/>
    </xf>
    <xf numFmtId="0" fontId="8" fillId="11" borderId="3" applyAlignment="1" pivotButton="0" quotePrefix="0" xfId="0">
      <alignment horizontal="center"/>
    </xf>
    <xf numFmtId="0" fontId="7" fillId="3" borderId="3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1" fillId="0" borderId="11" applyAlignment="1" pivotButton="0" quotePrefix="0" xfId="0">
      <alignment horizontal="center"/>
    </xf>
    <xf numFmtId="0" fontId="1" fillId="0" borderId="12" applyAlignment="1" pivotButton="0" quotePrefix="0" xfId="0">
      <alignment horizontal="center"/>
    </xf>
    <xf numFmtId="0" fontId="4" fillId="17" borderId="3" applyAlignment="1" pivotButton="0" quotePrefix="0" xfId="0">
      <alignment horizontal="center"/>
    </xf>
    <xf numFmtId="164" fontId="4" fillId="17" borderId="2" applyAlignment="1" pivotButton="0" quotePrefix="0" xfId="0">
      <alignment horizontal="center"/>
    </xf>
    <xf numFmtId="0" fontId="16" fillId="15" borderId="3" applyAlignment="1" pivotButton="0" quotePrefix="0" xfId="0">
      <alignment horizontal="center"/>
    </xf>
    <xf numFmtId="0" fontId="17" fillId="16" borderId="2" pivotButton="0" quotePrefix="0" xfId="0"/>
    <xf numFmtId="0" fontId="16" fillId="15" borderId="6" applyAlignment="1" pivotButton="0" quotePrefix="0" xfId="0">
      <alignment horizontal="center"/>
    </xf>
    <xf numFmtId="164" fontId="16" fillId="15" borderId="2" applyAlignment="1" pivotButton="0" quotePrefix="0" xfId="0">
      <alignment horizontal="center"/>
    </xf>
    <xf numFmtId="0" fontId="15" fillId="18" borderId="1" pivotButton="0" quotePrefix="0" xfId="0"/>
    <xf numFmtId="0" fontId="4" fillId="17" borderId="13" applyAlignment="1" pivotButton="0" quotePrefix="0" xfId="0">
      <alignment horizontal="center"/>
    </xf>
    <xf numFmtId="10" fontId="2" fillId="0" borderId="14" applyAlignment="1" pivotButton="0" quotePrefix="0" xfId="0">
      <alignment horizontal="center"/>
    </xf>
    <xf numFmtId="0" fontId="2" fillId="0" borderId="15" pivotButton="0" quotePrefix="0" xfId="0"/>
    <xf numFmtId="164" fontId="11" fillId="12" borderId="16" applyAlignment="1" pivotButton="0" quotePrefix="0" xfId="0">
      <alignment horizontal="center"/>
    </xf>
    <xf numFmtId="10" fontId="2" fillId="0" borderId="17" applyAlignment="1" pivotButton="0" quotePrefix="0" xfId="0">
      <alignment horizontal="center"/>
    </xf>
    <xf numFmtId="164" fontId="2" fillId="0" borderId="18" applyAlignment="1" pivotButton="0" quotePrefix="0" xfId="0">
      <alignment horizontal="center"/>
    </xf>
    <xf numFmtId="164" fontId="2" fillId="0" borderId="19" applyAlignment="1" pivotButton="0" quotePrefix="0" xfId="0">
      <alignment horizontal="center"/>
    </xf>
    <xf numFmtId="0" fontId="3" fillId="12" borderId="20" applyAlignment="1" pivotButton="0" quotePrefix="0" xfId="0">
      <alignment horizontal="center"/>
    </xf>
    <xf numFmtId="0" fontId="3" fillId="12" borderId="21" applyAlignment="1" pivotButton="0" quotePrefix="0" xfId="0">
      <alignment horizontal="center"/>
    </xf>
    <xf numFmtId="0" fontId="18" fillId="0" borderId="22" pivotButton="0" quotePrefix="0" xfId="0"/>
    <xf numFmtId="0" fontId="1" fillId="0" borderId="23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165" fontId="1" fillId="13" borderId="4" applyAlignment="1" pivotButton="0" quotePrefix="0" xfId="1">
      <alignment horizontal="center"/>
    </xf>
    <xf numFmtId="165" fontId="1" fillId="13" borderId="8" applyAlignment="1" pivotButton="0" quotePrefix="0" xfId="1">
      <alignment horizontal="center"/>
    </xf>
    <xf numFmtId="165" fontId="1" fillId="13" borderId="5" applyAlignment="1" pivotButton="0" quotePrefix="0" xfId="1">
      <alignment horizontal="center"/>
    </xf>
    <xf numFmtId="0" fontId="3" fillId="12" borderId="9" applyAlignment="1" pivotButton="0" quotePrefix="0" xfId="0">
      <alignment horizontal="center"/>
    </xf>
    <xf numFmtId="0" fontId="0" fillId="0" borderId="22" pivotButton="0" quotePrefix="0" xfId="0"/>
  </cellXfs>
  <cellStyles count="3">
    <cellStyle name="Normal" xfId="0" builtinId="0"/>
    <cellStyle name="Currency" xfId="1" builtinId="4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65"/>
  <sheetViews>
    <sheetView workbookViewId="0">
      <selection activeCell="N14" sqref="N14"/>
    </sheetView>
  </sheetViews>
  <sheetFormatPr baseColWidth="8" defaultColWidth="12.6328125" defaultRowHeight="15.75" customHeight="1"/>
  <cols>
    <col width="21.26953125" customWidth="1" min="1" max="1"/>
    <col width="6.26953125" customWidth="1" min="2" max="2"/>
    <col width="11.08984375" bestFit="1" customWidth="1" min="3" max="3"/>
    <col width="12.08984375" customWidth="1" min="4" max="4"/>
    <col width="11.81640625" customWidth="1" min="5" max="10"/>
    <col width="18.90625" customWidth="1" min="11" max="11"/>
    <col width="14" customWidth="1" min="12" max="12"/>
  </cols>
  <sheetData>
    <row r="1" ht="14.5" customHeight="1">
      <c r="A1" s="1" t="n"/>
      <c r="B1" s="2" t="n"/>
      <c r="C1" s="2" t="n"/>
      <c r="D1" s="2" t="n"/>
      <c r="E1" s="2" t="n"/>
      <c r="F1" s="2" t="n"/>
      <c r="G1" s="2" t="n"/>
      <c r="H1" s="2" t="n"/>
    </row>
    <row r="2" ht="14.5" customHeight="1">
      <c r="A2" s="1" t="n"/>
      <c r="B2" s="1" t="n"/>
      <c r="C2" s="82" t="inlineStr">
        <is>
          <t>Interés</t>
        </is>
      </c>
      <c r="D2" s="83" t="n"/>
      <c r="E2" s="83" t="n"/>
      <c r="F2" s="83" t="n"/>
      <c r="G2" s="83" t="n"/>
      <c r="H2" s="83" t="n"/>
      <c r="I2" s="83" t="n"/>
      <c r="J2" s="84" t="n"/>
    </row>
    <row r="3" ht="14.5" customHeight="1">
      <c r="A3" s="3" t="inlineStr">
        <is>
          <t>Tarjeta</t>
        </is>
      </c>
      <c r="B3" s="4" t="inlineStr">
        <is>
          <t>Cuotas</t>
        </is>
      </c>
      <c r="C3" s="5" t="inlineStr">
        <is>
          <t>Mi comercio</t>
        </is>
      </c>
      <c r="D3" s="5" t="inlineStr">
        <is>
          <t>Ecommerce</t>
        </is>
      </c>
      <c r="E3" s="5" t="inlineStr">
        <is>
          <t>Cetrogar</t>
        </is>
      </c>
      <c r="F3" s="5" t="inlineStr">
        <is>
          <t>On City</t>
        </is>
      </c>
      <c r="G3" s="5" t="inlineStr">
        <is>
          <t>Castillo</t>
        </is>
      </c>
      <c r="H3" s="39" t="inlineStr">
        <is>
          <t>Montes</t>
        </is>
      </c>
      <c r="I3" s="5" t="inlineStr">
        <is>
          <t>Fravega</t>
        </is>
      </c>
      <c r="J3" s="39" t="inlineStr">
        <is>
          <t>Megatone</t>
        </is>
      </c>
      <c r="K3" s="3" t="inlineStr">
        <is>
          <t>Lista Precios 4</t>
        </is>
      </c>
    </row>
    <row r="4" ht="14.5" customHeight="1">
      <c r="A4" s="45" t="inlineStr">
        <is>
          <t>Precio</t>
        </is>
      </c>
      <c r="B4" s="46" t="n">
        <v>1</v>
      </c>
      <c r="C4" s="47" t="inlineStr">
        <is>
          <t>-</t>
        </is>
      </c>
      <c r="D4" s="47" t="inlineStr">
        <is>
          <t>-</t>
        </is>
      </c>
      <c r="E4" s="85" t="n"/>
      <c r="F4" s="85" t="n"/>
      <c r="G4" s="86" t="n"/>
      <c r="H4" s="87" t="n"/>
      <c r="I4" s="86" t="n"/>
      <c r="J4" s="87" t="n"/>
      <c r="K4" s="48" t="inlineStr">
        <is>
          <t>Precio</t>
        </is>
      </c>
    </row>
    <row r="5" ht="14.5" customHeight="1">
      <c r="A5" s="6" t="inlineStr">
        <is>
          <t>VISA/MASTERCARD/AMEX</t>
        </is>
      </c>
      <c r="B5" s="7" t="n">
        <v>1</v>
      </c>
      <c r="C5" s="8" t="n">
        <v>0</v>
      </c>
      <c r="D5" s="9" t="n">
        <v>-0.15</v>
      </c>
      <c r="E5" s="52" t="n"/>
      <c r="F5" s="52" t="n"/>
      <c r="G5" s="53" t="n"/>
      <c r="H5" s="53" t="n"/>
      <c r="I5" s="53" t="n"/>
      <c r="J5" s="53" t="n"/>
      <c r="K5" s="10" t="inlineStr">
        <is>
          <t>Débito/Crédito</t>
        </is>
      </c>
    </row>
    <row r="6" ht="14.5" customHeight="1">
      <c r="A6" s="11" t="inlineStr">
        <is>
          <t>VISA/MASTER MACRO</t>
        </is>
      </c>
      <c r="B6" s="7" t="n">
        <v>3</v>
      </c>
      <c r="C6" s="8" t="n">
        <v>0.0665</v>
      </c>
      <c r="D6" s="9" t="n">
        <v>-0.04</v>
      </c>
      <c r="E6" s="52" t="n"/>
      <c r="F6" s="53" t="n"/>
      <c r="G6" s="53" t="n"/>
      <c r="H6" s="53" t="n"/>
      <c r="I6" s="53" t="n"/>
      <c r="J6" s="53" t="n"/>
      <c r="K6" s="11" t="inlineStr">
        <is>
          <t>3 sin int Macro</t>
        </is>
      </c>
    </row>
    <row r="7" ht="14.5" customHeight="1">
      <c r="A7" s="11" t="inlineStr">
        <is>
          <t>VISA/MASTER MACRO</t>
        </is>
      </c>
      <c r="B7" s="7" t="n">
        <v>6</v>
      </c>
      <c r="C7" s="12" t="n">
        <v>0.126</v>
      </c>
      <c r="D7" s="8" t="n">
        <v>0</v>
      </c>
      <c r="E7" s="52" t="n"/>
      <c r="F7" s="53" t="n"/>
      <c r="G7" s="53" t="n"/>
      <c r="H7" s="53" t="n"/>
      <c r="I7" s="53" t="n"/>
      <c r="J7" s="53" t="n"/>
      <c r="K7" s="11" t="inlineStr">
        <is>
          <t>6 sin int Macro</t>
        </is>
      </c>
    </row>
    <row r="8" ht="14.5" customHeight="1">
      <c r="A8" s="11" t="inlineStr">
        <is>
          <t>VISA/MASTER MACRO</t>
        </is>
      </c>
      <c r="B8" s="7" t="n">
        <v>9</v>
      </c>
      <c r="C8" s="8" t="n">
        <v>0.1875</v>
      </c>
      <c r="D8" s="8" t="n">
        <v>0</v>
      </c>
      <c r="E8" s="52" t="n"/>
      <c r="F8" s="53" t="n"/>
      <c r="G8" s="53" t="n"/>
      <c r="H8" s="53" t="n"/>
      <c r="I8" s="53" t="n"/>
      <c r="J8" s="53" t="n"/>
      <c r="K8" s="11" t="inlineStr">
        <is>
          <t>9 sin int Macro</t>
        </is>
      </c>
    </row>
    <row r="9" ht="14.5" customHeight="1">
      <c r="A9" s="11" t="inlineStr">
        <is>
          <t>VISA/MASTER MACRO</t>
        </is>
      </c>
      <c r="B9" s="7" t="n">
        <v>9</v>
      </c>
      <c r="C9" s="8" t="n">
        <v>0.1875</v>
      </c>
      <c r="D9" s="8" t="n">
        <v>0.05</v>
      </c>
      <c r="E9" s="52" t="n"/>
      <c r="F9" s="53" t="n"/>
      <c r="G9" s="53" t="n"/>
      <c r="H9" s="53" t="n"/>
      <c r="I9" s="53" t="n"/>
      <c r="J9" s="53" t="n"/>
      <c r="K9" s="11" t="inlineStr">
        <is>
          <t>9 con int Macro</t>
        </is>
      </c>
    </row>
    <row r="10" ht="14.5" customHeight="1">
      <c r="A10" s="11" t="inlineStr">
        <is>
          <t>VISA/MASTER MACRO</t>
        </is>
      </c>
      <c r="B10" s="7" t="n">
        <v>12</v>
      </c>
      <c r="C10" s="8" t="n">
        <v>0.251</v>
      </c>
      <c r="D10" s="8" t="n">
        <v>0</v>
      </c>
      <c r="E10" s="54" t="n"/>
      <c r="F10" s="53" t="n"/>
      <c r="G10" s="53" t="n"/>
      <c r="H10" s="53" t="n"/>
      <c r="I10" s="53" t="n"/>
      <c r="J10" s="53" t="n"/>
      <c r="K10" s="11" t="inlineStr">
        <is>
          <t>12 sin int Macro</t>
        </is>
      </c>
    </row>
    <row r="11" ht="14.5" customHeight="1">
      <c r="A11" s="11" t="inlineStr">
        <is>
          <t>VISA/MASTER MACRO</t>
        </is>
      </c>
      <c r="B11" s="7" t="n">
        <v>12</v>
      </c>
      <c r="C11" s="8" t="n">
        <v>0.251</v>
      </c>
      <c r="D11" s="8" t="n">
        <v>0.1</v>
      </c>
      <c r="E11" s="54" t="n"/>
      <c r="F11" s="53" t="n"/>
      <c r="G11" s="53" t="n"/>
      <c r="H11" s="53" t="n"/>
      <c r="I11" s="53" t="n"/>
      <c r="J11" s="53" t="n"/>
      <c r="K11" s="11" t="inlineStr">
        <is>
          <t>12 con int Macro</t>
        </is>
      </c>
    </row>
    <row r="12" ht="14.5" customHeight="1">
      <c r="A12" s="11" t="inlineStr">
        <is>
          <t>VISA/MASTER MACRO</t>
        </is>
      </c>
      <c r="B12" s="7" t="n">
        <v>15</v>
      </c>
      <c r="C12" s="8" t="n">
        <v>0.317</v>
      </c>
      <c r="D12" s="8" t="n">
        <v>0</v>
      </c>
      <c r="E12" s="53" t="n"/>
      <c r="F12" s="54" t="n"/>
      <c r="G12" s="53" t="n"/>
      <c r="H12" s="53" t="n"/>
      <c r="I12" s="53" t="n"/>
      <c r="J12" s="53" t="n"/>
      <c r="K12" s="11" t="inlineStr">
        <is>
          <t>15 sin int Macro</t>
        </is>
      </c>
    </row>
    <row r="13" ht="14.5" customHeight="1">
      <c r="A13" s="11" t="inlineStr">
        <is>
          <t>VISA/MASTER MACRO</t>
        </is>
      </c>
      <c r="B13" s="7" t="n">
        <v>15</v>
      </c>
      <c r="C13" s="8" t="n">
        <v>0.317</v>
      </c>
      <c r="D13" s="8" t="n">
        <v>0.15</v>
      </c>
      <c r="E13" s="53" t="n"/>
      <c r="F13" s="54" t="n"/>
      <c r="G13" s="53" t="n"/>
      <c r="H13" s="53" t="n"/>
      <c r="I13" s="53" t="n"/>
      <c r="J13" s="53" t="n"/>
      <c r="K13" s="11" t="inlineStr">
        <is>
          <t>15 con int Macro</t>
        </is>
      </c>
    </row>
    <row r="14" ht="14.5" customHeight="1">
      <c r="A14" s="11" t="inlineStr">
        <is>
          <t>VISA/MASTER MACRO</t>
        </is>
      </c>
      <c r="B14" s="7" t="n">
        <v>18</v>
      </c>
      <c r="C14" s="8" t="n">
        <v>0.385</v>
      </c>
      <c r="D14" s="8" t="n">
        <v>0</v>
      </c>
      <c r="E14" s="53" t="n"/>
      <c r="F14" s="54" t="n"/>
      <c r="G14" s="53" t="n"/>
      <c r="H14" s="53" t="n"/>
      <c r="I14" s="53" t="n"/>
      <c r="J14" s="53" t="n"/>
      <c r="K14" s="11" t="inlineStr">
        <is>
          <t>18 sin int Macro</t>
        </is>
      </c>
    </row>
    <row r="15" ht="14.5" customHeight="1">
      <c r="A15" s="11" t="inlineStr">
        <is>
          <t>VISA/MASTER MACRO</t>
        </is>
      </c>
      <c r="B15" s="7" t="n">
        <v>18</v>
      </c>
      <c r="C15" s="8" t="n">
        <v>0.385</v>
      </c>
      <c r="D15" s="8" t="n">
        <v>0.21</v>
      </c>
      <c r="E15" s="54" t="n"/>
      <c r="F15" s="54" t="n"/>
      <c r="G15" s="53" t="n"/>
      <c r="H15" s="53" t="n"/>
      <c r="I15" s="53" t="n"/>
      <c r="J15" s="53" t="n"/>
      <c r="K15" s="11" t="inlineStr">
        <is>
          <t>18 con int Macro</t>
        </is>
      </c>
    </row>
    <row r="16" ht="14.5" customHeight="1">
      <c r="A16" s="15" t="inlineStr">
        <is>
          <t>VISA/MASTER NACION</t>
        </is>
      </c>
      <c r="B16" s="7" t="n">
        <v>3</v>
      </c>
      <c r="C16" s="8" t="n">
        <v>0.0185</v>
      </c>
      <c r="D16" s="9" t="n">
        <v>-0.05</v>
      </c>
      <c r="E16" s="52" t="n"/>
      <c r="F16" s="53" t="n"/>
      <c r="G16" s="53" t="n"/>
      <c r="H16" s="53" t="n"/>
      <c r="I16" s="53" t="n"/>
      <c r="J16" s="53" t="n"/>
      <c r="K16" s="16" t="inlineStr">
        <is>
          <t>3 sin int Nación 5%</t>
        </is>
      </c>
    </row>
    <row r="17" ht="14.5" customHeight="1">
      <c r="A17" s="15" t="inlineStr">
        <is>
          <t>VISA/MASTER NACION</t>
        </is>
      </c>
      <c r="B17" s="7" t="n">
        <v>6</v>
      </c>
      <c r="C17" s="8" t="n">
        <v>0.0775</v>
      </c>
      <c r="D17" s="9" t="n">
        <v>-0.05</v>
      </c>
      <c r="E17" s="52" t="n"/>
      <c r="F17" s="53" t="n"/>
      <c r="G17" s="53" t="n"/>
      <c r="H17" s="53" t="n"/>
      <c r="I17" s="53" t="n"/>
      <c r="J17" s="53" t="n"/>
      <c r="K17" s="16" t="inlineStr">
        <is>
          <t>6 sin int Nación 5%</t>
        </is>
      </c>
    </row>
    <row r="18" ht="14.5" customHeight="1">
      <c r="A18" s="15" t="inlineStr">
        <is>
          <t>VISA/MASTER NACION</t>
        </is>
      </c>
      <c r="B18" s="7" t="n">
        <v>12</v>
      </c>
      <c r="C18" s="8" t="n">
        <v>0.131</v>
      </c>
      <c r="D18" s="9" t="n">
        <v>-0.05</v>
      </c>
      <c r="E18" s="52" t="n"/>
      <c r="F18" s="53" t="n"/>
      <c r="G18" s="53" t="n"/>
      <c r="H18" s="53" t="n"/>
      <c r="I18" s="53" t="n"/>
      <c r="J18" s="53" t="n"/>
      <c r="K18" s="16" t="inlineStr">
        <is>
          <t>12 sin int Nación 5%</t>
        </is>
      </c>
    </row>
    <row r="19" ht="14.5" customHeight="1">
      <c r="A19" s="15" t="inlineStr">
        <is>
          <t>VISA/MASTER NACION</t>
        </is>
      </c>
      <c r="B19" s="7" t="n">
        <v>12</v>
      </c>
      <c r="C19" s="8" t="n">
        <v>0.131</v>
      </c>
      <c r="D19" s="8" t="n">
        <v>0</v>
      </c>
      <c r="E19" s="52" t="n"/>
      <c r="F19" s="53" t="n"/>
      <c r="G19" s="53" t="n"/>
      <c r="H19" s="53" t="n"/>
      <c r="I19" s="53" t="n"/>
      <c r="J19" s="53" t="n"/>
      <c r="K19" s="16" t="inlineStr">
        <is>
          <t>12 sin int Nación</t>
        </is>
      </c>
    </row>
    <row r="20" ht="14.5" customHeight="1">
      <c r="A20" s="15" t="inlineStr">
        <is>
          <t>VISA/MASTER NACION</t>
        </is>
      </c>
      <c r="B20" s="7" t="n">
        <v>15</v>
      </c>
      <c r="C20" s="8" t="n">
        <v>0.2345</v>
      </c>
      <c r="D20" s="8" t="n">
        <v>0</v>
      </c>
      <c r="E20" s="54" t="n"/>
      <c r="F20" s="54" t="n"/>
      <c r="G20" s="53" t="n"/>
      <c r="H20" s="53" t="n"/>
      <c r="I20" s="53" t="n"/>
      <c r="J20" s="53" t="n"/>
      <c r="K20" s="16" t="inlineStr">
        <is>
          <t>15 sin int Nación</t>
        </is>
      </c>
    </row>
    <row r="21" ht="14.5" customHeight="1">
      <c r="A21" s="15" t="inlineStr">
        <is>
          <t>VISA/MASTER NACION</t>
        </is>
      </c>
      <c r="B21" s="7" t="n">
        <v>15</v>
      </c>
      <c r="C21" s="8" t="n">
        <v>0.2345</v>
      </c>
      <c r="D21" s="8" t="n">
        <v>0.09</v>
      </c>
      <c r="E21" s="54" t="n"/>
      <c r="F21" s="54" t="n"/>
      <c r="G21" s="53" t="n"/>
      <c r="H21" s="53" t="n"/>
      <c r="I21" s="53" t="n"/>
      <c r="J21" s="53" t="n"/>
      <c r="K21" s="16" t="inlineStr">
        <is>
          <t>15 con int Nación</t>
        </is>
      </c>
    </row>
    <row r="22" ht="14.5" customHeight="1">
      <c r="A22" s="15" t="inlineStr">
        <is>
          <t>VISA/MASTER NACION</t>
        </is>
      </c>
      <c r="B22" s="7" t="n">
        <v>18</v>
      </c>
      <c r="C22" s="8" t="n">
        <v>0.3025</v>
      </c>
      <c r="D22" s="8" t="n">
        <v>0</v>
      </c>
      <c r="E22" s="54" t="n"/>
      <c r="F22" s="54" t="n"/>
      <c r="G22" s="53" t="n"/>
      <c r="H22" s="53" t="n"/>
      <c r="I22" s="53" t="n"/>
      <c r="J22" s="53" t="n"/>
      <c r="K22" s="16" t="inlineStr">
        <is>
          <t>18 sin int Nación</t>
        </is>
      </c>
    </row>
    <row r="23" ht="14.5" customHeight="1">
      <c r="A23" s="15" t="inlineStr">
        <is>
          <t>VISA/MASTER NACION</t>
        </is>
      </c>
      <c r="B23" s="7" t="n">
        <v>18</v>
      </c>
      <c r="C23" s="8" t="n">
        <v>0.3025</v>
      </c>
      <c r="D23" s="8" t="n">
        <v>0.15</v>
      </c>
      <c r="E23" s="54" t="n"/>
      <c r="F23" s="54" t="n"/>
      <c r="G23" s="53" t="n"/>
      <c r="H23" s="53" t="n"/>
      <c r="I23" s="53" t="n"/>
      <c r="J23" s="53" t="n"/>
      <c r="K23" s="16" t="inlineStr">
        <is>
          <t>18 con int Nación</t>
        </is>
      </c>
    </row>
    <row r="24" ht="14.5" customHeight="1">
      <c r="A24" s="15" t="inlineStr">
        <is>
          <t>VISA/MASTER NACION</t>
        </is>
      </c>
      <c r="B24" s="7" t="n">
        <v>20</v>
      </c>
      <c r="C24" s="8" t="n">
        <v>0.335</v>
      </c>
      <c r="D24" s="8" t="n">
        <v>0</v>
      </c>
      <c r="E24" s="54" t="n"/>
      <c r="F24" s="54" t="n"/>
      <c r="G24" s="53" t="n"/>
      <c r="H24" s="53" t="n"/>
      <c r="I24" s="53" t="n"/>
      <c r="J24" s="53" t="n"/>
      <c r="K24" s="16" t="inlineStr">
        <is>
          <t>20 sin int Nación</t>
        </is>
      </c>
    </row>
    <row r="25" ht="14.5" customHeight="1">
      <c r="A25" s="15" t="inlineStr">
        <is>
          <t>VISA/MASTER NACION</t>
        </is>
      </c>
      <c r="B25" s="7" t="n">
        <v>20</v>
      </c>
      <c r="C25" s="8" t="n">
        <v>0.335</v>
      </c>
      <c r="D25" s="8" t="n">
        <v>0.18</v>
      </c>
      <c r="E25" s="54" t="n"/>
      <c r="F25" s="54" t="n"/>
      <c r="G25" s="53" t="n"/>
      <c r="H25" s="53" t="n"/>
      <c r="I25" s="53" t="n"/>
      <c r="J25" s="53" t="n"/>
      <c r="K25" s="16" t="inlineStr">
        <is>
          <t>20 con int Nación</t>
        </is>
      </c>
    </row>
    <row r="26" ht="14.5" customHeight="1">
      <c r="A26" s="17" t="inlineStr">
        <is>
          <t>NARANJAX</t>
        </is>
      </c>
      <c r="B26" s="7" t="n">
        <v>1</v>
      </c>
      <c r="C26" s="8" t="n">
        <v>0</v>
      </c>
      <c r="D26" s="9" t="n">
        <v>-0.15</v>
      </c>
      <c r="E26" s="54" t="n"/>
      <c r="F26" s="52" t="n"/>
      <c r="G26" s="53" t="n"/>
      <c r="H26" s="53" t="n"/>
      <c r="I26" s="53" t="n"/>
      <c r="J26" s="53" t="n"/>
      <c r="K26" s="18" t="inlineStr">
        <is>
          <t>Débito/Crédito</t>
        </is>
      </c>
    </row>
    <row r="27" ht="14.5" customHeight="1">
      <c r="A27" s="17" t="inlineStr">
        <is>
          <t>NARANJAX</t>
        </is>
      </c>
      <c r="B27" s="7" t="n">
        <v>3</v>
      </c>
      <c r="C27" s="8" t="n">
        <v>0.0295</v>
      </c>
      <c r="D27" s="9" t="n">
        <v>-0.04</v>
      </c>
      <c r="E27" s="52" t="n"/>
      <c r="F27" s="53" t="n"/>
      <c r="G27" s="53" t="n"/>
      <c r="H27" s="53" t="n"/>
      <c r="I27" s="53" t="n"/>
      <c r="J27" s="53" t="n"/>
      <c r="K27" s="18" t="inlineStr">
        <is>
          <t>Plan Z</t>
        </is>
      </c>
    </row>
    <row r="28" ht="14.5" customHeight="1">
      <c r="A28" s="17" t="inlineStr">
        <is>
          <t>NARANJAX</t>
        </is>
      </c>
      <c r="B28" s="7" t="n">
        <v>6</v>
      </c>
      <c r="C28" s="8" t="n">
        <v>0.053</v>
      </c>
      <c r="D28" s="8" t="n">
        <v>0</v>
      </c>
      <c r="E28" s="52" t="n"/>
      <c r="F28" s="53" t="n"/>
      <c r="G28" s="53" t="n"/>
      <c r="H28" s="53" t="n"/>
      <c r="I28" s="53" t="n"/>
      <c r="J28" s="53" t="n"/>
      <c r="K28" s="18" t="inlineStr">
        <is>
          <t>Naranja 6 s/i</t>
        </is>
      </c>
    </row>
    <row r="29" ht="14.5" customHeight="1">
      <c r="A29" s="17" t="inlineStr">
        <is>
          <t>NARANJAX</t>
        </is>
      </c>
      <c r="B29" s="7" t="n">
        <v>9</v>
      </c>
      <c r="C29" s="8" t="n">
        <v>0.081</v>
      </c>
      <c r="D29" s="8" t="n">
        <v>0</v>
      </c>
      <c r="E29" s="52" t="n"/>
      <c r="F29" s="53" t="n"/>
      <c r="G29" s="53" t="n"/>
      <c r="H29" s="53" t="n"/>
      <c r="I29" s="53" t="n"/>
      <c r="J29" s="53" t="n"/>
      <c r="K29" s="18" t="inlineStr">
        <is>
          <t>Naranja 9 s/i</t>
        </is>
      </c>
    </row>
    <row r="30" ht="14.5" customHeight="1">
      <c r="A30" s="17" t="inlineStr">
        <is>
          <t>NARANJAX</t>
        </is>
      </c>
      <c r="B30" s="7" t="n">
        <v>9</v>
      </c>
      <c r="C30" s="8" t="n">
        <v>0.081</v>
      </c>
      <c r="D30" s="8" t="n">
        <v>0.05</v>
      </c>
      <c r="E30" s="52" t="n"/>
      <c r="F30" s="53" t="n"/>
      <c r="G30" s="53" t="n"/>
      <c r="H30" s="53" t="n"/>
      <c r="I30" s="53" t="n"/>
      <c r="J30" s="53" t="n"/>
      <c r="K30" s="18" t="inlineStr">
        <is>
          <t>Naranja 9 c/i</t>
        </is>
      </c>
    </row>
    <row r="31" ht="14.5" customHeight="1">
      <c r="A31" s="17" t="inlineStr">
        <is>
          <t>NARANJAX</t>
        </is>
      </c>
      <c r="B31" s="7" t="n">
        <v>10</v>
      </c>
      <c r="C31" s="8" t="n">
        <v>0.099</v>
      </c>
      <c r="D31" s="8" t="n">
        <v>0</v>
      </c>
      <c r="E31" s="53" t="n"/>
      <c r="F31" s="53" t="n"/>
      <c r="G31" s="53" t="n"/>
      <c r="H31" s="54" t="n"/>
      <c r="I31" s="53" t="n"/>
      <c r="J31" s="54" t="n"/>
      <c r="K31" s="18" t="inlineStr">
        <is>
          <t>Naranja 10 s/i</t>
        </is>
      </c>
    </row>
    <row r="32" ht="14.5" customHeight="1">
      <c r="A32" s="17" t="inlineStr">
        <is>
          <t>NARANJAX</t>
        </is>
      </c>
      <c r="B32" s="7" t="n">
        <v>10</v>
      </c>
      <c r="C32" s="8" t="n">
        <v>0.099</v>
      </c>
      <c r="D32" s="8" t="n">
        <v>0.05</v>
      </c>
      <c r="E32" s="54" t="n"/>
      <c r="F32" s="53" t="n"/>
      <c r="G32" s="53" t="n"/>
      <c r="H32" s="54" t="n"/>
      <c r="I32" s="53" t="n"/>
      <c r="J32" s="54" t="n"/>
      <c r="K32" s="18" t="inlineStr">
        <is>
          <t>Naranja 10 c/i</t>
        </is>
      </c>
    </row>
    <row r="33" ht="14.5" customHeight="1">
      <c r="A33" s="17" t="inlineStr">
        <is>
          <t>NARANJAX</t>
        </is>
      </c>
      <c r="B33" s="7" t="n">
        <v>12</v>
      </c>
      <c r="C33" s="8" t="n">
        <v>0.151</v>
      </c>
      <c r="D33" s="8" t="n">
        <v>0</v>
      </c>
      <c r="E33" s="52" t="n"/>
      <c r="F33" s="53" t="n"/>
      <c r="G33" s="53" t="n"/>
      <c r="H33" s="53" t="n"/>
      <c r="I33" s="53" t="n"/>
      <c r="J33" s="53" t="n"/>
      <c r="K33" s="19" t="inlineStr">
        <is>
          <t>Naranja 12 s/i</t>
        </is>
      </c>
    </row>
    <row r="34" ht="14.5" customHeight="1">
      <c r="A34" s="17" t="inlineStr">
        <is>
          <t>NARANJAX</t>
        </is>
      </c>
      <c r="B34" s="7" t="n">
        <v>12</v>
      </c>
      <c r="C34" s="8" t="n">
        <v>0.151</v>
      </c>
      <c r="D34" s="8" t="n">
        <v>0.07000000000000001</v>
      </c>
      <c r="E34" s="52" t="n"/>
      <c r="F34" s="53" t="n"/>
      <c r="G34" s="53" t="n"/>
      <c r="H34" s="55" t="n"/>
      <c r="I34" s="53" t="n"/>
      <c r="J34" s="55" t="n"/>
      <c r="K34" s="19" t="inlineStr">
        <is>
          <t>Naranja 12 c/i</t>
        </is>
      </c>
    </row>
    <row r="35" ht="14.5" customHeight="1">
      <c r="A35" s="17" t="inlineStr">
        <is>
          <t>NARANJAX</t>
        </is>
      </c>
      <c r="B35" s="7" t="n">
        <v>15</v>
      </c>
      <c r="C35" s="8" t="n">
        <v>0.227</v>
      </c>
      <c r="D35" s="8" t="n">
        <v>0</v>
      </c>
      <c r="E35" s="52" t="n"/>
      <c r="F35" s="53" t="n"/>
      <c r="G35" s="53" t="n"/>
      <c r="H35" s="54" t="n"/>
      <c r="I35" s="53" t="n"/>
      <c r="J35" s="54" t="n"/>
      <c r="K35" s="19" t="inlineStr">
        <is>
          <t>Naranja 15 s/i</t>
        </is>
      </c>
    </row>
    <row r="36" ht="14.5" customHeight="1">
      <c r="A36" s="17" t="inlineStr">
        <is>
          <t>NARANJAX</t>
        </is>
      </c>
      <c r="B36" s="7" t="n">
        <v>15</v>
      </c>
      <c r="C36" s="8" t="n">
        <v>0.227</v>
      </c>
      <c r="D36" s="8" t="n">
        <v>0.09</v>
      </c>
      <c r="E36" s="52" t="n"/>
      <c r="F36" s="54" t="n"/>
      <c r="G36" s="53" t="n"/>
      <c r="H36" s="54" t="n"/>
      <c r="I36" s="53" t="n"/>
      <c r="J36" s="54" t="n"/>
      <c r="K36" s="19" t="inlineStr">
        <is>
          <t>Naranja 15 c/i</t>
        </is>
      </c>
    </row>
    <row r="37" ht="14.5" customHeight="1">
      <c r="A37" s="17" t="inlineStr">
        <is>
          <t>NARANJAX</t>
        </is>
      </c>
      <c r="B37" s="7" t="n">
        <v>18</v>
      </c>
      <c r="C37" s="8" t="n">
        <v>0.3195</v>
      </c>
      <c r="D37" s="8" t="n">
        <v>0</v>
      </c>
      <c r="E37" s="54" t="n"/>
      <c r="F37" s="54" t="n"/>
      <c r="G37" s="53" t="n"/>
      <c r="H37" s="54" t="n"/>
      <c r="I37" s="53" t="n"/>
      <c r="J37" s="54" t="n"/>
      <c r="K37" s="19" t="inlineStr">
        <is>
          <t>Naranja 18 s/i</t>
        </is>
      </c>
    </row>
    <row r="38" ht="14.5" customHeight="1">
      <c r="A38" s="17" t="inlineStr">
        <is>
          <t>NARANJAX</t>
        </is>
      </c>
      <c r="B38" s="7" t="n">
        <v>18</v>
      </c>
      <c r="C38" s="8" t="n">
        <v>0.3195</v>
      </c>
      <c r="D38" s="8" t="n">
        <v>0.18</v>
      </c>
      <c r="E38" s="54" t="n"/>
      <c r="F38" s="54" t="n"/>
      <c r="G38" s="53" t="n"/>
      <c r="H38" s="54" t="n"/>
      <c r="I38" s="53" t="n"/>
      <c r="J38" s="54" t="n"/>
      <c r="K38" s="19" t="inlineStr">
        <is>
          <t>Naranja 18 c/i</t>
        </is>
      </c>
    </row>
    <row r="39" ht="14.5" customHeight="1">
      <c r="A39" s="20" t="inlineStr">
        <is>
          <t>MERCADO PAGO</t>
        </is>
      </c>
      <c r="B39" s="7" t="n">
        <v>1</v>
      </c>
      <c r="C39" s="8" t="n">
        <v>0</v>
      </c>
      <c r="D39" s="9" t="n">
        <v>-0.15</v>
      </c>
      <c r="E39" s="52" t="n"/>
      <c r="F39" s="52" t="n"/>
      <c r="G39" s="53" t="n"/>
      <c r="H39" s="53" t="n"/>
      <c r="I39" s="53" t="n"/>
      <c r="J39" s="53" t="n"/>
      <c r="K39" s="21" t="inlineStr">
        <is>
          <t>Débito/Crédito</t>
        </is>
      </c>
    </row>
    <row r="40" ht="14.5" customHeight="1">
      <c r="A40" s="20" t="inlineStr">
        <is>
          <t>MERCADO PAGO</t>
        </is>
      </c>
      <c r="B40" s="7" t="n">
        <v>3</v>
      </c>
      <c r="C40" s="8" t="n">
        <v>0.0765</v>
      </c>
      <c r="D40" s="9" t="n">
        <v>-0.04</v>
      </c>
      <c r="E40" s="52" t="n"/>
      <c r="F40" s="53" t="n"/>
      <c r="G40" s="53" t="n"/>
      <c r="H40" s="53" t="n"/>
      <c r="I40" s="53" t="n"/>
      <c r="J40" s="53" t="n"/>
      <c r="K40" s="21" t="inlineStr">
        <is>
          <t>3 sin int MP</t>
        </is>
      </c>
    </row>
    <row r="41" ht="14.5" customHeight="1">
      <c r="A41" s="20" t="inlineStr">
        <is>
          <t>MERCADO PAGO</t>
        </is>
      </c>
      <c r="B41" s="7" t="n">
        <v>6</v>
      </c>
      <c r="C41" s="8" t="n">
        <v>0.14</v>
      </c>
      <c r="D41" s="8" t="n">
        <v>0</v>
      </c>
      <c r="E41" s="52" t="n"/>
      <c r="F41" s="53" t="n"/>
      <c r="G41" s="53" t="n"/>
      <c r="H41" s="53" t="n"/>
      <c r="I41" s="53" t="n"/>
      <c r="J41" s="53" t="n"/>
      <c r="K41" s="21" t="inlineStr">
        <is>
          <t>6 sin int MP</t>
        </is>
      </c>
    </row>
    <row r="42" ht="14.5" customHeight="1">
      <c r="A42" s="20" t="inlineStr">
        <is>
          <t>MERCADO PAGO</t>
        </is>
      </c>
      <c r="B42" s="7" t="n">
        <v>9</v>
      </c>
      <c r="C42" s="8" t="n">
        <v>0.2135</v>
      </c>
      <c r="D42" s="8" t="n">
        <v>0</v>
      </c>
      <c r="E42" s="52" t="n"/>
      <c r="F42" s="53" t="n"/>
      <c r="G42" s="53" t="n"/>
      <c r="H42" s="53" t="n"/>
      <c r="I42" s="53" t="n"/>
      <c r="J42" s="53" t="n"/>
      <c r="K42" s="21" t="inlineStr">
        <is>
          <t>9 sin int MP</t>
        </is>
      </c>
    </row>
    <row r="43" ht="14.5" customHeight="1">
      <c r="A43" s="20" t="inlineStr">
        <is>
          <t>MERCADO PAGO</t>
        </is>
      </c>
      <c r="B43" s="7" t="n">
        <v>9</v>
      </c>
      <c r="C43" s="8" t="n">
        <v>0.2135</v>
      </c>
      <c r="D43" s="8" t="n">
        <v>0.07000000000000001</v>
      </c>
      <c r="E43" s="52" t="n"/>
      <c r="F43" s="53" t="n"/>
      <c r="G43" s="53" t="n"/>
      <c r="H43" s="53" t="n"/>
      <c r="I43" s="53" t="n"/>
      <c r="J43" s="53" t="n"/>
      <c r="K43" s="21" t="inlineStr">
        <is>
          <t>9 con int MP</t>
        </is>
      </c>
    </row>
    <row r="44" ht="14.5" customHeight="1">
      <c r="A44" s="20" t="inlineStr">
        <is>
          <t>MERCADO PAGO</t>
        </is>
      </c>
      <c r="B44" s="7" t="n">
        <v>12</v>
      </c>
      <c r="C44" s="8" t="n">
        <v>0.279</v>
      </c>
      <c r="D44" s="8" t="n">
        <v>0</v>
      </c>
      <c r="E44" s="52" t="n"/>
      <c r="F44" s="53" t="n"/>
      <c r="G44" s="53" t="n"/>
      <c r="H44" s="54" t="n"/>
      <c r="I44" s="53" t="n"/>
      <c r="J44" s="54" t="n"/>
      <c r="K44" s="22" t="inlineStr">
        <is>
          <t>12 sin int MP</t>
        </is>
      </c>
    </row>
    <row r="45" ht="14.5" customHeight="1">
      <c r="A45" s="20" t="inlineStr">
        <is>
          <t>MERCADO PAGO</t>
        </is>
      </c>
      <c r="B45" s="7" t="n">
        <v>12</v>
      </c>
      <c r="C45" s="8" t="n">
        <v>0.279</v>
      </c>
      <c r="D45" s="8" t="n">
        <v>0.12</v>
      </c>
      <c r="E45" s="52" t="n"/>
      <c r="F45" s="54" t="n"/>
      <c r="G45" s="53" t="n"/>
      <c r="H45" s="53" t="n"/>
      <c r="I45" s="53" t="n"/>
      <c r="J45" s="53" t="n"/>
      <c r="K45" s="21" t="inlineStr">
        <is>
          <t>12 con int MP</t>
        </is>
      </c>
    </row>
    <row r="46" ht="14.5" customHeight="1">
      <c r="A46" s="20" t="inlineStr">
        <is>
          <t>MERCADO PAGO</t>
        </is>
      </c>
      <c r="B46" s="7" t="n">
        <v>18</v>
      </c>
      <c r="C46" s="8" t="n">
        <v>0.4245</v>
      </c>
      <c r="D46" s="8" t="n">
        <v>0.25</v>
      </c>
      <c r="E46" s="54" t="n"/>
      <c r="F46" s="54" t="n"/>
      <c r="G46" s="53" t="n"/>
      <c r="H46" s="54" t="n"/>
      <c r="I46" s="53" t="n"/>
      <c r="J46" s="54" t="n"/>
      <c r="K46" s="22" t="inlineStr">
        <is>
          <t>18 con int MP</t>
        </is>
      </c>
    </row>
    <row r="47" ht="14.5" customHeight="1">
      <c r="A47" s="20" t="inlineStr">
        <is>
          <t>MERCADO PAGO</t>
        </is>
      </c>
      <c r="B47" s="7" t="n">
        <v>24</v>
      </c>
      <c r="C47" s="8" t="n">
        <v>0.582</v>
      </c>
      <c r="D47" s="8" t="n">
        <v>0.39</v>
      </c>
      <c r="E47" s="54" t="n"/>
      <c r="F47" s="54" t="n"/>
      <c r="G47" s="53" t="n"/>
      <c r="H47" s="54" t="n"/>
      <c r="I47" s="53" t="n"/>
      <c r="J47" s="54" t="n"/>
      <c r="K47" s="22" t="inlineStr">
        <is>
          <t>24 con int MP</t>
        </is>
      </c>
    </row>
    <row r="48" hidden="1" ht="14.5" customHeight="1">
      <c r="A48" s="23" t="inlineStr">
        <is>
          <t>GETNET SANTANDER</t>
        </is>
      </c>
      <c r="B48" s="7" t="n">
        <v>3</v>
      </c>
      <c r="C48" s="8" t="n">
        <v>0.103</v>
      </c>
      <c r="D48" s="9" t="n">
        <v>-0.04</v>
      </c>
      <c r="E48" s="52" t="n"/>
      <c r="F48" s="52" t="n"/>
      <c r="G48" s="53" t="n"/>
      <c r="H48" s="53" t="n"/>
      <c r="I48" s="53" t="n"/>
      <c r="J48" s="53" t="n"/>
      <c r="K48" s="24" t="inlineStr">
        <is>
          <t>3 sin int Santander</t>
        </is>
      </c>
    </row>
    <row r="49" hidden="1" ht="14.5" customHeight="1">
      <c r="A49" s="23" t="inlineStr">
        <is>
          <t>GETNET SANTANDER</t>
        </is>
      </c>
      <c r="B49" s="7" t="n">
        <v>6</v>
      </c>
      <c r="C49" s="8" t="n">
        <v>0.172</v>
      </c>
      <c r="D49" s="8" t="n">
        <v>0</v>
      </c>
      <c r="E49" s="52" t="n"/>
      <c r="F49" s="52" t="n"/>
      <c r="G49" s="53" t="n"/>
      <c r="H49" s="53" t="n"/>
      <c r="I49" s="53" t="n"/>
      <c r="J49" s="53" t="n"/>
      <c r="K49" s="24" t="inlineStr">
        <is>
          <t>6 sin int Santander</t>
        </is>
      </c>
    </row>
    <row r="50" hidden="1" ht="14.5" customHeight="1">
      <c r="A50" s="23" t="inlineStr">
        <is>
          <t>GETNET SANTANDER</t>
        </is>
      </c>
      <c r="B50" s="7" t="n">
        <v>9</v>
      </c>
      <c r="C50" s="8" t="n">
        <v>0.2435</v>
      </c>
      <c r="D50" s="8" t="n">
        <v>0</v>
      </c>
      <c r="E50" s="52" t="n"/>
      <c r="F50" s="52" t="n"/>
      <c r="G50" s="53" t="n"/>
      <c r="H50" s="53" t="n"/>
      <c r="I50" s="53" t="n"/>
      <c r="J50" s="53" t="n"/>
      <c r="K50" s="24" t="inlineStr">
        <is>
          <t>9 sin int Santander</t>
        </is>
      </c>
    </row>
    <row r="51" hidden="1" ht="14.5" customHeight="1">
      <c r="A51" s="23" t="inlineStr">
        <is>
          <t>GETNET SANTANDER</t>
        </is>
      </c>
      <c r="B51" s="7" t="n">
        <v>9</v>
      </c>
      <c r="C51" s="8" t="n">
        <v>0.2435</v>
      </c>
      <c r="D51" s="8" t="n">
        <v>0.05</v>
      </c>
      <c r="E51" s="52" t="n"/>
      <c r="F51" s="52" t="n"/>
      <c r="G51" s="53" t="n"/>
      <c r="H51" s="53" t="n"/>
      <c r="I51" s="53" t="n"/>
      <c r="J51" s="53" t="n"/>
      <c r="K51" s="24" t="inlineStr">
        <is>
          <t>9 con int Santander</t>
        </is>
      </c>
    </row>
    <row r="52" hidden="1" ht="14.5" customHeight="1">
      <c r="A52" s="23" t="inlineStr">
        <is>
          <t>GETNET SANTANDER</t>
        </is>
      </c>
      <c r="B52" s="7" t="n">
        <v>12</v>
      </c>
      <c r="C52" s="8" t="n">
        <v>0.3175</v>
      </c>
      <c r="D52" s="8" t="n">
        <v>0</v>
      </c>
      <c r="E52" s="52" t="n"/>
      <c r="F52" s="52" t="n"/>
      <c r="G52" s="53" t="n"/>
      <c r="H52" s="53" t="n"/>
      <c r="I52" s="53" t="n"/>
      <c r="J52" s="53" t="n"/>
      <c r="K52" s="24" t="inlineStr">
        <is>
          <t>12 sin int Santander</t>
        </is>
      </c>
    </row>
    <row r="53" hidden="1" ht="14.5" customHeight="1">
      <c r="A53" s="23" t="inlineStr">
        <is>
          <t>GETNET SANTANDER</t>
        </is>
      </c>
      <c r="B53" s="7" t="n">
        <v>12</v>
      </c>
      <c r="C53" s="8" t="n">
        <v>0.3175</v>
      </c>
      <c r="D53" s="8" t="n">
        <v>0.12</v>
      </c>
      <c r="E53" s="54" t="n"/>
      <c r="F53" s="52" t="n"/>
      <c r="G53" s="53" t="n"/>
      <c r="H53" s="53" t="n"/>
      <c r="I53" s="53" t="n"/>
      <c r="J53" s="53" t="n"/>
      <c r="K53" s="24" t="inlineStr">
        <is>
          <t>12 con int Santander</t>
        </is>
      </c>
    </row>
    <row r="54" ht="14.5" customHeight="1">
      <c r="A54" s="25" t="inlineStr">
        <is>
          <t>CREDIMAS</t>
        </is>
      </c>
      <c r="B54" s="7" t="n">
        <v>1</v>
      </c>
      <c r="C54" s="8" t="n">
        <v>0.061</v>
      </c>
      <c r="D54" s="9" t="n">
        <v>-0.07000000000000001</v>
      </c>
      <c r="E54" s="52" t="n"/>
      <c r="F54" s="54" t="n"/>
      <c r="G54" s="53" t="n"/>
      <c r="H54" s="53" t="n"/>
      <c r="I54" s="53" t="n"/>
      <c r="J54" s="53" t="n"/>
      <c r="K54" s="26" t="inlineStr">
        <is>
          <t>Crédito</t>
        </is>
      </c>
    </row>
    <row r="55" ht="14.5" customHeight="1">
      <c r="A55" s="25" t="inlineStr">
        <is>
          <t>CREDIMAS</t>
        </is>
      </c>
      <c r="B55" s="7" t="n">
        <v>3</v>
      </c>
      <c r="C55" s="8" t="n">
        <v>0.1</v>
      </c>
      <c r="D55" s="8" t="n">
        <v>0</v>
      </c>
      <c r="E55" s="52" t="n"/>
      <c r="F55" s="52" t="n"/>
      <c r="G55" s="53" t="n"/>
      <c r="H55" s="53" t="n"/>
      <c r="I55" s="53" t="n"/>
      <c r="J55" s="53" t="n"/>
      <c r="K55" s="26" t="inlineStr">
        <is>
          <t>Plan Fácil 3</t>
        </is>
      </c>
    </row>
    <row r="56" ht="14.5" customHeight="1">
      <c r="A56" s="25" t="inlineStr">
        <is>
          <t>CREDIMAS</t>
        </is>
      </c>
      <c r="B56" s="7" t="n">
        <v>6</v>
      </c>
      <c r="C56" s="8" t="n">
        <v>0.2075</v>
      </c>
      <c r="D56" s="8" t="n">
        <v>0.06</v>
      </c>
      <c r="E56" s="52" t="n"/>
      <c r="F56" s="52" t="n"/>
      <c r="G56" s="53" t="n"/>
      <c r="H56" s="53" t="n"/>
      <c r="I56" s="53" t="n"/>
      <c r="J56" s="53" t="n"/>
      <c r="K56" s="26" t="inlineStr">
        <is>
          <t>Plan Fácil 6</t>
        </is>
      </c>
    </row>
    <row r="57" ht="14.5" customHeight="1">
      <c r="A57" s="27" t="inlineStr">
        <is>
          <t>SUCRÉDITO</t>
        </is>
      </c>
      <c r="B57" s="7" t="n">
        <v>1</v>
      </c>
      <c r="C57" s="8" t="n">
        <v>0.03</v>
      </c>
      <c r="D57" s="9" t="n">
        <v>-0.09</v>
      </c>
      <c r="E57" s="52" t="n"/>
      <c r="F57" s="52" t="n"/>
      <c r="G57" s="53" t="n"/>
      <c r="H57" s="53" t="n"/>
      <c r="I57" s="53" t="n"/>
      <c r="J57" s="53" t="n"/>
      <c r="K57" s="28" t="inlineStr">
        <is>
          <t>Crédito</t>
        </is>
      </c>
    </row>
    <row r="58" ht="14.5" customHeight="1">
      <c r="A58" s="27" t="inlineStr">
        <is>
          <t>SUCRÉDITO</t>
        </is>
      </c>
      <c r="B58" s="7" t="n">
        <v>3</v>
      </c>
      <c r="C58" s="8" t="n">
        <v>0.042</v>
      </c>
      <c r="D58" s="9" t="n">
        <v>-0.04</v>
      </c>
      <c r="E58" s="52" t="n"/>
      <c r="F58" s="52" t="n"/>
      <c r="G58" s="53" t="n"/>
      <c r="H58" s="53" t="n"/>
      <c r="I58" s="53" t="n"/>
      <c r="J58" s="53" t="n"/>
      <c r="K58" s="28" t="inlineStr">
        <is>
          <t>3 sin interés</t>
        </is>
      </c>
    </row>
    <row r="59" ht="14.5" customHeight="1">
      <c r="A59" s="27" t="inlineStr">
        <is>
          <t>SUCRÉDITO</t>
        </is>
      </c>
      <c r="B59" s="7" t="n">
        <v>6</v>
      </c>
      <c r="C59" s="8" t="n">
        <v>0.042</v>
      </c>
      <c r="D59" s="8" t="n">
        <v>0</v>
      </c>
      <c r="E59" s="52" t="n"/>
      <c r="F59" s="52" t="n"/>
      <c r="G59" s="53" t="n"/>
      <c r="H59" s="53" t="n"/>
      <c r="I59" s="53" t="n"/>
      <c r="J59" s="53" t="n"/>
      <c r="K59" s="28" t="inlineStr">
        <is>
          <t>6 sin interés</t>
        </is>
      </c>
    </row>
    <row r="60" ht="14.5" customHeight="1">
      <c r="A60" s="27" t="inlineStr">
        <is>
          <t>SUCRÉDITO</t>
        </is>
      </c>
      <c r="B60" s="7" t="n">
        <v>9</v>
      </c>
      <c r="C60" s="8" t="n">
        <v>0.17</v>
      </c>
      <c r="D60" s="8" t="n">
        <v>0</v>
      </c>
      <c r="E60" s="52" t="n"/>
      <c r="F60" s="52" t="n"/>
      <c r="G60" s="53" t="n"/>
      <c r="H60" s="53" t="n"/>
      <c r="I60" s="53" t="n"/>
      <c r="J60" s="53" t="n"/>
      <c r="K60" s="28" t="inlineStr">
        <is>
          <t>9 sin interés</t>
        </is>
      </c>
    </row>
    <row r="61" ht="14.5" customHeight="1">
      <c r="A61" s="27" t="inlineStr">
        <is>
          <t>SUCRÉDITO</t>
        </is>
      </c>
      <c r="B61" s="7" t="n">
        <v>9</v>
      </c>
      <c r="C61" s="8" t="n">
        <v>0.17</v>
      </c>
      <c r="D61" s="8" t="n">
        <v>0.05</v>
      </c>
      <c r="E61" s="52" t="n"/>
      <c r="F61" s="54" t="n"/>
      <c r="G61" s="53" t="n"/>
      <c r="H61" s="53" t="n"/>
      <c r="I61" s="53" t="n"/>
      <c r="J61" s="53" t="n"/>
      <c r="K61" s="28" t="inlineStr">
        <is>
          <t>9 con interés</t>
        </is>
      </c>
    </row>
    <row r="62" ht="14.5" customHeight="1">
      <c r="A62" s="27" t="inlineStr">
        <is>
          <t>SUCRÉDITO</t>
        </is>
      </c>
      <c r="B62" s="7" t="n">
        <v>12</v>
      </c>
      <c r="C62" s="8" t="n">
        <v>0.299</v>
      </c>
      <c r="D62" s="8" t="n">
        <v>0</v>
      </c>
      <c r="E62" s="52" t="n"/>
      <c r="F62" s="54" t="n"/>
      <c r="G62" s="53" t="n"/>
      <c r="H62" s="53" t="n"/>
      <c r="I62" s="53" t="n"/>
      <c r="J62" s="53" t="n"/>
      <c r="K62" s="28" t="inlineStr">
        <is>
          <t>12 sin interés</t>
        </is>
      </c>
    </row>
    <row r="63" ht="14.5" customHeight="1">
      <c r="A63" s="27" t="inlineStr">
        <is>
          <t>SUCRÉDITO</t>
        </is>
      </c>
      <c r="B63" s="7" t="n">
        <v>12</v>
      </c>
      <c r="C63" s="8" t="n">
        <v>0.299</v>
      </c>
      <c r="D63" s="8" t="n">
        <v>0.15</v>
      </c>
      <c r="E63" s="52" t="n"/>
      <c r="F63" s="52" t="n"/>
      <c r="G63" s="55" t="n"/>
      <c r="H63" s="54" t="n"/>
      <c r="I63" s="55" t="n"/>
      <c r="J63" s="54" t="n"/>
      <c r="K63" s="30" t="inlineStr">
        <is>
          <t>12 con interés</t>
        </is>
      </c>
    </row>
    <row r="64" hidden="1" ht="14.5" customHeight="1">
      <c r="A64" s="31" t="inlineStr">
        <is>
          <t>PAYWAY</t>
        </is>
      </c>
      <c r="B64" s="7" t="n">
        <v>9</v>
      </c>
      <c r="C64" s="8" t="n">
        <v>0.386</v>
      </c>
      <c r="D64" s="8" t="n">
        <v>0.17</v>
      </c>
      <c r="E64" s="7" t="inlineStr">
        <is>
          <t>-</t>
        </is>
      </c>
      <c r="F64" s="14" t="inlineStr">
        <is>
          <t>-</t>
        </is>
      </c>
      <c r="G64" s="13" t="inlineStr">
        <is>
          <t>-</t>
        </is>
      </c>
      <c r="H64" s="13" t="inlineStr">
        <is>
          <t>-</t>
        </is>
      </c>
      <c r="I64" s="32" t="inlineStr">
        <is>
          <t>-</t>
        </is>
      </c>
      <c r="J64" t="inlineStr">
        <is>
          <t>-</t>
        </is>
      </c>
      <c r="K64" t="inlineStr">
        <is>
          <t>9 Cuotas</t>
        </is>
      </c>
    </row>
    <row r="65" hidden="1" ht="14.5" customHeight="1">
      <c r="A65" s="31" t="inlineStr">
        <is>
          <t>PAYWAY</t>
        </is>
      </c>
      <c r="B65" s="7" t="n">
        <v>12</v>
      </c>
      <c r="C65" s="8" t="n">
        <v>0.522</v>
      </c>
      <c r="D65" s="8" t="n">
        <v>0.28</v>
      </c>
      <c r="E65" s="7" t="inlineStr">
        <is>
          <t>-</t>
        </is>
      </c>
      <c r="F65" s="7" t="inlineStr">
        <is>
          <t>-</t>
        </is>
      </c>
      <c r="G65" s="29" t="inlineStr">
        <is>
          <t>-</t>
        </is>
      </c>
      <c r="H65" s="14" t="inlineStr">
        <is>
          <t>-</t>
        </is>
      </c>
      <c r="I65" s="33" t="inlineStr">
        <is>
          <t>-</t>
        </is>
      </c>
      <c r="J65" t="inlineStr">
        <is>
          <t>-</t>
        </is>
      </c>
      <c r="K65" t="inlineStr">
        <is>
          <t>12 Cuotas</t>
        </is>
      </c>
    </row>
  </sheetData>
  <mergeCells count="1">
    <mergeCell ref="C2: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P64"/>
  <sheetViews>
    <sheetView tabSelected="1" zoomScale="85" zoomScaleNormal="85" workbookViewId="0">
      <pane xSplit="2" topLeftCell="C1" activePane="topRight" state="frozen"/>
      <selection pane="topRight" activeCell="T10" sqref="T10"/>
    </sheetView>
  </sheetViews>
  <sheetFormatPr baseColWidth="8" defaultColWidth="12.6328125" defaultRowHeight="15.75" customHeight="1"/>
  <cols>
    <col width="21.26953125" customWidth="1" min="1" max="1"/>
    <col width="18.6328125" bestFit="1" customWidth="1" min="2" max="2"/>
    <col width="15.36328125" bestFit="1" customWidth="1" min="4" max="4"/>
    <col width="15.36328125" bestFit="1" customWidth="1" min="6" max="6"/>
    <col width="15.36328125" bestFit="1" customWidth="1" min="8" max="8"/>
    <col width="15.36328125" bestFit="1" customWidth="1" min="10" max="10"/>
    <col width="15.36328125" bestFit="1" customWidth="1" min="12" max="12"/>
    <col width="15.36328125" bestFit="1" customWidth="1" min="14" max="14"/>
    <col width="15.36328125" bestFit="1" customWidth="1" min="16" max="16"/>
  </cols>
  <sheetData>
    <row r="1" ht="14.5" customHeight="1" thickBot="1">
      <c r="A1" s="2" t="n"/>
      <c r="B1" s="34" t="inlineStr">
        <is>
          <t>Costo</t>
        </is>
      </c>
      <c r="C1" s="57" t="inlineStr">
        <is>
          <t>CETROGAR</t>
        </is>
      </c>
      <c r="D1" s="58" t="n"/>
      <c r="E1" s="60" t="inlineStr">
        <is>
          <t>ON CITY</t>
        </is>
      </c>
      <c r="F1" s="58" t="n"/>
      <c r="G1" s="59" t="inlineStr">
        <is>
          <t>CASTILLO</t>
        </is>
      </c>
      <c r="H1" s="58" t="n"/>
      <c r="I1" s="61" t="inlineStr">
        <is>
          <t>MONTES</t>
        </is>
      </c>
      <c r="J1" s="58" t="n"/>
      <c r="K1" s="67" t="inlineStr">
        <is>
          <t>FRAVEGA</t>
        </is>
      </c>
      <c r="L1" s="58" t="n"/>
      <c r="M1" s="65" t="inlineStr">
        <is>
          <t>MEGATONE</t>
        </is>
      </c>
      <c r="N1" s="58" t="n"/>
      <c r="O1" s="88" t="inlineStr">
        <is>
          <t>MI COMERCIO</t>
        </is>
      </c>
      <c r="P1" s="89" t="n"/>
    </row>
    <row r="2" ht="14.5" customHeight="1" thickBot="1">
      <c r="A2" s="1" t="n"/>
      <c r="B2" s="56" t="inlineStr">
        <is>
          <t>INSERTAR COSTO</t>
        </is>
      </c>
      <c r="C2" s="2" t="n"/>
      <c r="D2" s="35" t="inlineStr">
        <is>
          <t>Markup</t>
        </is>
      </c>
      <c r="E2" s="2" t="n"/>
      <c r="F2" s="36" t="inlineStr">
        <is>
          <t>Markup</t>
        </is>
      </c>
      <c r="G2" s="2" t="n"/>
      <c r="H2" s="37" t="inlineStr">
        <is>
          <t>Markup</t>
        </is>
      </c>
      <c r="I2" s="2" t="n"/>
      <c r="J2" s="38" t="inlineStr">
        <is>
          <t>Markup</t>
        </is>
      </c>
      <c r="K2" s="2" t="n"/>
      <c r="L2" s="69" t="inlineStr">
        <is>
          <t>Markup</t>
        </is>
      </c>
      <c r="M2" s="2" t="n"/>
      <c r="N2" s="72" t="inlineStr">
        <is>
          <t>Markup</t>
        </is>
      </c>
      <c r="O2" s="74" t="n"/>
      <c r="P2" s="79" t="inlineStr">
        <is>
          <t>Markup</t>
        </is>
      </c>
    </row>
    <row r="3" ht="14.5" customHeight="1">
      <c r="A3" s="3" t="inlineStr">
        <is>
          <t xml:space="preserve"> </t>
        </is>
      </c>
      <c r="B3" s="39" t="inlineStr">
        <is>
          <t>Lista Precios 4</t>
        </is>
      </c>
      <c r="C3" s="40">
        <f>Datos!E4</f>
        <v/>
      </c>
      <c r="D3" s="8">
        <f>IF(ISNUMBER($B$2),(C3/$B$2)-1,"INSERTAR COSTO")</f>
        <v/>
      </c>
      <c r="E3" s="41">
        <f>Datos!F4</f>
        <v/>
      </c>
      <c r="F3" s="8">
        <f>IF(ISNUMBER($B$2),(E3/$B$2)-1,"INSERTAR COSTO")</f>
        <v/>
      </c>
      <c r="G3" s="42">
        <f>Datos!G4</f>
        <v/>
      </c>
      <c r="H3" s="8">
        <f>IF(ISNUMBER($B$2),(G3/$B$2)-1,"INSERTAR COSTO")</f>
        <v/>
      </c>
      <c r="I3" s="43">
        <f>Datos!H4</f>
        <v/>
      </c>
      <c r="J3" s="8">
        <f>IF(ISNUMBER($B$2),(I3/$B$2)-1,"INSERTAR COSTO")</f>
        <v/>
      </c>
      <c r="K3" s="70">
        <f>Datos!I4</f>
        <v/>
      </c>
      <c r="L3" s="8">
        <f>IF(ISNUMBER($B$2),(K3/$B$2)-1,"INSERTAR COSTO")</f>
        <v/>
      </c>
      <c r="M3" s="66">
        <f>Datos!J4</f>
        <v/>
      </c>
      <c r="N3" s="73">
        <f>IF(ISNUMBER($B$2),(M3/$B$2)-1,"INSERTAR COSTO")</f>
        <v/>
      </c>
      <c r="O3" s="75" t="n">
        <v>0</v>
      </c>
      <c r="P3" s="76">
        <f>IF(ISNUMBER($B$2),(O3/$B$2)-1,"INSERTAR COSTO")</f>
        <v/>
      </c>
    </row>
    <row r="4" ht="14.5" customHeight="1">
      <c r="A4" s="6">
        <f>Datos!A5</f>
        <v/>
      </c>
      <c r="B4" s="10" t="inlineStr">
        <is>
          <t>Débito/Crédito</t>
        </is>
      </c>
      <c r="C4" s="44">
        <f>IF(AND(ISNUMBER(Datos!E5),ISNUMBER($C$3),$C$3&gt;0),$C$3*(1-Datos!E5)/Datos!$B5,"-")</f>
        <v/>
      </c>
      <c r="D4" s="8">
        <f>IF(AND(ISNUMBER(C4),ISNUMBER($B$2)),((C4*Datos!$B5)/(1+Datos!$C5)/$B$2)-1,IF(ISNUMBER($B$2),"-","INSERTAR COSTO"))</f>
        <v/>
      </c>
      <c r="E4" s="44">
        <f>IF(AND(ISNUMBER(Datos!F5),ISNUMBER($E$3),$E$3&gt;0),$E$3*(1-Datos!F5)/Datos!$B5,"-")</f>
        <v/>
      </c>
      <c r="F4" s="8">
        <f>IF(AND(ISNUMBER(E4),ISNUMBER($B$2)),((E4*Datos!$B5)/(1+Datos!$C5)/$B$2)-1,IF(ISNUMBER($B$2),"-","INSERTAR COSTO"))</f>
        <v/>
      </c>
      <c r="G4" s="44">
        <f>IF(AND(ISNUMBER(Datos!G5),ISNUMBER($G$3),$G$3&gt;0),$G$3*(1-Datos!G5)/Datos!$B5,"-")</f>
        <v/>
      </c>
      <c r="H4" s="8">
        <f>IF(AND(ISNUMBER(G4),ISNUMBER($B$2)),((G4*Datos!$B5)/(1+Datos!$C5)/$B$2)-1,IF(ISNUMBER($B$2),"-","INSERTAR COSTO"))</f>
        <v/>
      </c>
      <c r="I4" s="7">
        <f>IF(AND(ISNUMBER(Datos!H5),ISNUMBER($I$3),$I$3&gt;0),$I$3*(1-Datos!H5)/Datos!$B5,"-")</f>
        <v/>
      </c>
      <c r="J4" s="8">
        <f>IF(AND(ISNUMBER(I4),ISNUMBER($B$2)),((I4*Datos!$B5)/(1+Datos!$C5)/$B$2)-1,IF(ISNUMBER($B$2),"-","INSERTAR COSTO"))</f>
        <v/>
      </c>
      <c r="K4" s="44">
        <f>IF(AND(ISNUMBER(Datos!I5),ISNUMBER($K$3),$K$3&gt;0),$K$3*(1-Datos!I5)/Datos!$B5,"-")</f>
        <v/>
      </c>
      <c r="L4" s="8">
        <f>IF(AND(ISNUMBER(K4),ISNUMBER($B$2)),((K4*Datos!$B5)/(1+Datos!$C5)/$B$2)-1,IF(ISNUMBER($B$2),"-","INSERTAR COSTO"))</f>
        <v/>
      </c>
      <c r="M4" s="44">
        <f>IF(AND(ISNUMBER(Datos!J5),ISNUMBER($M$3),$M$3&gt;0),$M$3*(1-Datos!J5)/Datos!$B5,"-")</f>
        <v/>
      </c>
      <c r="N4" s="73">
        <f>IF(AND(ISNUMBER(M4),ISNUMBER($B$2)),((M4*Datos!$B5)/(1+Datos!$C5)/$B$2)-1,IF(ISNUMBER($B$2),"-","INSERTAR COSTO"))</f>
        <v/>
      </c>
      <c r="O4" s="77">
        <f>IF(AND(ISNUMBER(Datos!D5),ISNUMBER($O$3),$O$3&gt;0),$O$3*(1+Datos!D5)/Datos!B5,"-")</f>
        <v/>
      </c>
      <c r="P4" s="76">
        <f>IF(AND(ISNUMBER(O4),ISNUMBER($B$2)),((O4*Datos!$B5)/(1+Datos!$C5)/$B$2)-1,IF(ISNUMBER($B$2),"-","INSERTAR COSTO"))</f>
        <v/>
      </c>
    </row>
    <row r="5" ht="14.5" customHeight="1">
      <c r="A5" s="11">
        <f>Datos!A6</f>
        <v/>
      </c>
      <c r="B5" s="11" t="inlineStr">
        <is>
          <t>3 sin int Macro</t>
        </is>
      </c>
      <c r="C5" s="44">
        <f>IF(AND(ISNUMBER(Datos!E6),ISNUMBER($C$3),$C$3&gt;0),$C$3*(1-Datos!E6)/Datos!B6,"-")</f>
        <v/>
      </c>
      <c r="D5" s="8">
        <f>IF(AND(ISNUMBER(C5),ISNUMBER($B$2)),((C5*Datos!$B6)/(1+Datos!$C6)/$B$2)-1,IF(ISNUMBER($B$2),"-","INSERTAR COSTO"))</f>
        <v/>
      </c>
      <c r="E5" s="44">
        <f>IF(AND(ISNUMBER(Datos!F6),ISNUMBER($E$3),$E$3&gt;0),$E$3*(1-Datos!F6)/Datos!B6,"-")</f>
        <v/>
      </c>
      <c r="F5" s="8">
        <f>IF(AND(ISNUMBER(E5),ISNUMBER($B$2)),((E5*Datos!$B6)/(1+Datos!$C6)/$B$2)-1,IF(ISNUMBER($B$2),"-","INSERTAR COSTO"))</f>
        <v/>
      </c>
      <c r="G5" s="44">
        <f>IF(AND(ISNUMBER(Datos!G6),ISNUMBER($G$3),$G$3&gt;0),$G$3*(1-Datos!G6)/Datos!B6,"-")</f>
        <v/>
      </c>
      <c r="H5" s="8">
        <f>IF(AND(ISNUMBER(G5),ISNUMBER($B$2)),((G5*Datos!$B6)/(1+Datos!$C6)/$B$2)-1,IF(ISNUMBER($B$2),"-","INSERTAR COSTO"))</f>
        <v/>
      </c>
      <c r="I5" s="7">
        <f>IF(AND(ISNUMBER(Datos!H6),ISNUMBER($I$3),$I$3&gt;0),$I$3*(1-Datos!H6)/Datos!B6,"-")</f>
        <v/>
      </c>
      <c r="J5" s="8">
        <f>IF(AND(ISNUMBER(I5),ISNUMBER($B$2)),((I5*Datos!$B6)/(1+Datos!$C6)/$B$2)-1,IF(ISNUMBER($B$2),"-","INSERTAR COSTO"))</f>
        <v/>
      </c>
      <c r="K5" s="44">
        <f>IF(AND(ISNUMBER(Datos!I6),ISNUMBER($K$3),$K$3&gt;0),$K$3*(1-Datos!I6)/Datos!B6,"-")</f>
        <v/>
      </c>
      <c r="L5" s="8">
        <f>IF(AND(ISNUMBER(K5),ISNUMBER($B$2)),((K5*Datos!$B6)/(1+Datos!$C6)/$B$2)-1,IF(ISNUMBER($B$2),"-","INSERTAR COSTO"))</f>
        <v/>
      </c>
      <c r="M5" s="7">
        <f>IF(AND(ISNUMBER(Datos!L6),ISNUMBER($I$3),$I$3&gt;0),$I$3*(1-Datos!L6)/Datos!F6,"-")</f>
        <v/>
      </c>
      <c r="N5" s="73">
        <f>IF(AND(ISNUMBER(M5),ISNUMBER($B$2)),((M5*Datos!$B6)/(1+Datos!$C6)/$B$2)-1,IF(ISNUMBER($B$2),"-","INSERTAR COSTO"))</f>
        <v/>
      </c>
      <c r="O5" s="77">
        <f>IF(AND(ISNUMBER(Datos!D6),ISNUMBER($O$3),$O$3&gt;0),$O$3*(1+Datos!D6)/Datos!B6,"-")</f>
        <v/>
      </c>
      <c r="P5" s="76">
        <f>IF(AND(ISNUMBER(O5),ISNUMBER($B$2)),((O5*Datos!$B6)/(1+Datos!$C6)/$B$2)-1,IF(ISNUMBER($B$2),"-","INSERTAR COSTO"))</f>
        <v/>
      </c>
    </row>
    <row r="6" ht="14.5" customHeight="1">
      <c r="A6" s="11">
        <f>Datos!A7</f>
        <v/>
      </c>
      <c r="B6" s="11" t="inlineStr">
        <is>
          <t>6 sin int Macro</t>
        </is>
      </c>
      <c r="C6" s="44">
        <f>IF(AND(ISNUMBER(Datos!E7),ISNUMBER($C$3),$C$3&gt;0),$C$3*(1-Datos!E7)/Datos!B7,"-")</f>
        <v/>
      </c>
      <c r="D6" s="8">
        <f>IF(AND(ISNUMBER(C6),ISNUMBER($B$2)),((C6*Datos!$B7)/(1+Datos!$C7)/$B$2)-1,IF(ISNUMBER($B$2),"-","INSERTAR COSTO"))</f>
        <v/>
      </c>
      <c r="E6" s="44">
        <f>IF(AND(ISNUMBER(Datos!F7),ISNUMBER($E$3),$E$3&gt;0),$E$3*(1-Datos!F7)/Datos!B7,"-")</f>
        <v/>
      </c>
      <c r="F6" s="8">
        <f>IF(AND(ISNUMBER(E6),ISNUMBER($B$2)),((E6*Datos!$B7)/(1+Datos!$C7)/$B$2)-1,IF(ISNUMBER($B$2),"-","INSERTAR COSTO"))</f>
        <v/>
      </c>
      <c r="G6" s="44">
        <f>IF(AND(ISNUMBER(Datos!G7),ISNUMBER($G$3),$G$3&gt;0),$G$3*(1-Datos!G7)/Datos!B7,"-")</f>
        <v/>
      </c>
      <c r="H6" s="8">
        <f>IF(AND(ISNUMBER(G6),ISNUMBER($B$2)),((G6*Datos!$B7)/(1+Datos!$C7)/$B$2)-1,IF(ISNUMBER($B$2),"-","INSERTAR COSTO"))</f>
        <v/>
      </c>
      <c r="I6" s="7">
        <f>IF(AND(ISNUMBER(Datos!H7),ISNUMBER($I$3),$I$3&gt;0),$I$3*(1-Datos!H7)/Datos!B7,"-")</f>
        <v/>
      </c>
      <c r="J6" s="8">
        <f>IF(AND(ISNUMBER(I6),ISNUMBER($B$2)),((I6*Datos!$B7)/(1+Datos!$C7)/$B$2)-1,IF(ISNUMBER($B$2),"-","INSERTAR COSTO"))</f>
        <v/>
      </c>
      <c r="K6" s="44">
        <f>IF(AND(ISNUMBER(Datos!I7),ISNUMBER($K$3),$K$3&gt;0),$K$3*(1-Datos!I7)/Datos!B7,"-")</f>
        <v/>
      </c>
      <c r="L6" s="8">
        <f>IF(AND(ISNUMBER(K6),ISNUMBER($B$2)),((K6*Datos!$B7)/(1+Datos!$C7)/$B$2)-1,IF(ISNUMBER($B$2),"-","INSERTAR COSTO"))</f>
        <v/>
      </c>
      <c r="M6" s="7">
        <f>IF(AND(ISNUMBER(Datos!L7),ISNUMBER($I$3),$I$3&gt;0),$I$3*(1-Datos!L7)/Datos!F7,"-")</f>
        <v/>
      </c>
      <c r="N6" s="73">
        <f>IF(AND(ISNUMBER(M6),ISNUMBER($B$2)),((M6*Datos!$B7)/(1+Datos!$C7)/$B$2)-1,IF(ISNUMBER($B$2),"-","INSERTAR COSTO"))</f>
        <v/>
      </c>
      <c r="O6" s="77">
        <f>IF(AND(ISNUMBER(Datos!D7),ISNUMBER($O$3),$O$3&gt;0),$O$3*(1+Datos!D7)/Datos!B7,"-")</f>
        <v/>
      </c>
      <c r="P6" s="76">
        <f>IF(AND(ISNUMBER(O6),ISNUMBER($B$2)),((O6*Datos!$B7)/(1+Datos!$C7)/$B$2)-1,IF(ISNUMBER($B$2),"-","INSERTAR COSTO"))</f>
        <v/>
      </c>
    </row>
    <row r="7" ht="14.5" customHeight="1">
      <c r="A7" s="11">
        <f>Datos!A8</f>
        <v/>
      </c>
      <c r="B7" s="11" t="inlineStr">
        <is>
          <t>9 sin int Macro</t>
        </is>
      </c>
      <c r="C7" s="44">
        <f>IF(AND(ISNUMBER(Datos!E8),ISNUMBER($C$3),$C$3&gt;0),$C$3*(1-Datos!E8)/Datos!B8,"-")</f>
        <v/>
      </c>
      <c r="D7" s="8">
        <f>IF(AND(ISNUMBER(C7),ISNUMBER($B$2)),((C7*Datos!$B8)/(1+Datos!$C8)/$B$2)-1,IF(ISNUMBER($B$2),"-","INSERTAR COSTO"))</f>
        <v/>
      </c>
      <c r="E7" s="44">
        <f>IF(AND(ISNUMBER(Datos!F8),ISNUMBER($E$3),$E$3&gt;0),$E$3*(1-Datos!F8)/Datos!B8,"-")</f>
        <v/>
      </c>
      <c r="F7" s="8">
        <f>IF(AND(ISNUMBER(E7),ISNUMBER($B$2)),((E7*Datos!$B8)/(1+Datos!$C8)/$B$2)-1,IF(ISNUMBER($B$2),"-","INSERTAR COSTO"))</f>
        <v/>
      </c>
      <c r="G7" s="44">
        <f>IF(AND(ISNUMBER(Datos!G8),ISNUMBER($G$3),$G$3&gt;0),$G$3*(1-Datos!G8)/Datos!B8,"-")</f>
        <v/>
      </c>
      <c r="H7" s="8">
        <f>IF(AND(ISNUMBER(G7),ISNUMBER($B$2)),((G7*Datos!$B8)/(1+Datos!$C8)/$B$2)-1,IF(ISNUMBER($B$2),"-","INSERTAR COSTO"))</f>
        <v/>
      </c>
      <c r="I7" s="7">
        <f>IF(AND(ISNUMBER(Datos!H8),ISNUMBER($I$3),$I$3&gt;0),$I$3*(1-Datos!H8)/Datos!B8,"-")</f>
        <v/>
      </c>
      <c r="J7" s="8">
        <f>IF(AND(ISNUMBER(I7),ISNUMBER($B$2)),((I7*Datos!$B8)/(1+Datos!$C8)/$B$2)-1,IF(ISNUMBER($B$2),"-","INSERTAR COSTO"))</f>
        <v/>
      </c>
      <c r="K7" s="44">
        <f>IF(AND(ISNUMBER(Datos!I8),ISNUMBER($K$3),$K$3&gt;0),$K$3*(1-Datos!I8)/Datos!B8,"-")</f>
        <v/>
      </c>
      <c r="L7" s="8">
        <f>IF(AND(ISNUMBER(K7),ISNUMBER($B$2)),((K7*Datos!$B8)/(1+Datos!$C8)/$B$2)-1,IF(ISNUMBER($B$2),"-","INSERTAR COSTO"))</f>
        <v/>
      </c>
      <c r="M7" s="7">
        <f>IF(AND(ISNUMBER(Datos!L8),ISNUMBER($I$3),$I$3&gt;0),$I$3*(1-Datos!L8)/Datos!F8,"-")</f>
        <v/>
      </c>
      <c r="N7" s="73">
        <f>IF(AND(ISNUMBER(M7),ISNUMBER($B$2)),((M7*Datos!$B8)/(1+Datos!$C8)/$B$2)-1,IF(ISNUMBER($B$2),"-","INSERTAR COSTO"))</f>
        <v/>
      </c>
      <c r="O7" s="77">
        <f>IF(AND(ISNUMBER(Datos!D8),ISNUMBER($O$3),$O$3&gt;0),$O$3*(1+Datos!D8)/Datos!B8,"-")</f>
        <v/>
      </c>
      <c r="P7" s="76">
        <f>IF(AND(ISNUMBER(O7),ISNUMBER($B$2)),((O7*Datos!$B8)/(1+Datos!$C8)/$B$2)-1,IF(ISNUMBER($B$2),"-","INSERTAR COSTO"))</f>
        <v/>
      </c>
    </row>
    <row r="8" ht="14.5" customHeight="1">
      <c r="A8" s="11">
        <f>Datos!A9</f>
        <v/>
      </c>
      <c r="B8" s="11" t="inlineStr">
        <is>
          <t>9 con int Macro</t>
        </is>
      </c>
      <c r="C8" s="44">
        <f>IF(AND(ISNUMBER(Datos!E9),ISNUMBER($C$3),$C$3&gt;0),$C$3*(1-Datos!E9)/Datos!B9,"-")</f>
        <v/>
      </c>
      <c r="D8" s="8">
        <f>IF(AND(ISNUMBER(C8),ISNUMBER($B$2)),((C8*Datos!$B9)/(1+Datos!$C9)/$B$2)-1,IF(ISNUMBER($B$2),"-","INSERTAR COSTO"))</f>
        <v/>
      </c>
      <c r="E8" s="44">
        <f>IF(AND(ISNUMBER(Datos!F9),ISNUMBER($E$3),$E$3&gt;0),$E$3*(1-Datos!F9)/Datos!B9,"-")</f>
        <v/>
      </c>
      <c r="F8" s="8">
        <f>IF(AND(ISNUMBER(E8),ISNUMBER($B$2)),((E8*Datos!$B9)/(1+Datos!$C9)/$B$2)-1,IF(ISNUMBER($B$2),"-","INSERTAR COSTO"))</f>
        <v/>
      </c>
      <c r="G8" s="44">
        <f>IF(AND(ISNUMBER(Datos!G9),ISNUMBER($G$3),$G$3&gt;0),$G$3*(1-Datos!G9)/Datos!B9,"-")</f>
        <v/>
      </c>
      <c r="H8" s="8">
        <f>IF(AND(ISNUMBER(G8),ISNUMBER($B$2)),((G8*Datos!$B9)/(1+Datos!$C9)/$B$2)-1,IF(ISNUMBER($B$2),"-","INSERTAR COSTO"))</f>
        <v/>
      </c>
      <c r="I8" s="7">
        <f>IF(AND(ISNUMBER(Datos!H9),ISNUMBER($I$3),$I$3&gt;0),$I$3*(1-Datos!H9)/Datos!B9,"-")</f>
        <v/>
      </c>
      <c r="J8" s="8">
        <f>IF(AND(ISNUMBER(I8),ISNUMBER($B$2)),((I8*Datos!$B9)/(1+Datos!$C9)/$B$2)-1,IF(ISNUMBER($B$2),"-","INSERTAR COSTO"))</f>
        <v/>
      </c>
      <c r="K8" s="44">
        <f>IF(AND(ISNUMBER(Datos!I9),ISNUMBER($K$3),$K$3&gt;0),$K$3*(1-Datos!I9)/Datos!B9,"-")</f>
        <v/>
      </c>
      <c r="L8" s="8">
        <f>IF(AND(ISNUMBER(K8),ISNUMBER($B$2)),((K8*Datos!$B9)/(1+Datos!$C9)/$B$2)-1,IF(ISNUMBER($B$2),"-","INSERTAR COSTO"))</f>
        <v/>
      </c>
      <c r="M8" s="7">
        <f>IF(AND(ISNUMBER(Datos!L9),ISNUMBER($I$3),$I$3&gt;0),$I$3*(1-Datos!L9)/Datos!F9,"-")</f>
        <v/>
      </c>
      <c r="N8" s="73">
        <f>IF(AND(ISNUMBER(M8),ISNUMBER($B$2)),((M8*Datos!$B9)/(1+Datos!$C9)/$B$2)-1,IF(ISNUMBER($B$2),"-","INSERTAR COSTO"))</f>
        <v/>
      </c>
      <c r="O8" s="77">
        <f>IF(AND(ISNUMBER(Datos!D9),ISNUMBER($O$3),$O$3&gt;0),$O$3*(1+Datos!D9)/Datos!B9,"-")</f>
        <v/>
      </c>
      <c r="P8" s="76">
        <f>IF(AND(ISNUMBER(O8),ISNUMBER($B$2)),((O8*Datos!$B9)/(1+Datos!$C9)/$B$2)-1,IF(ISNUMBER($B$2),"-","INSERTAR COSTO"))</f>
        <v/>
      </c>
    </row>
    <row r="9" ht="14.5" customHeight="1">
      <c r="A9" s="11">
        <f>Datos!A10</f>
        <v/>
      </c>
      <c r="B9" s="11" t="inlineStr">
        <is>
          <t>12 sin int Macro</t>
        </is>
      </c>
      <c r="C9" s="44">
        <f>IF(AND(ISNUMBER(Datos!E10),ISNUMBER($C$3),$C$3&gt;0),$C$3*(1-Datos!E10)/Datos!B10,"-")</f>
        <v/>
      </c>
      <c r="D9" s="8">
        <f>IF(AND(ISNUMBER(C9),ISNUMBER($B$2)),((C9*Datos!$B10)/(1+Datos!$C10)/$B$2)-1,IF(ISNUMBER($B$2),"-","INSERTAR COSTO"))</f>
        <v/>
      </c>
      <c r="E9" s="44">
        <f>IF(AND(ISNUMBER(Datos!F10),ISNUMBER($E$3),$E$3&gt;0),$E$3*(1-Datos!F10)/Datos!B10,"-")</f>
        <v/>
      </c>
      <c r="F9" s="8">
        <f>IF(AND(ISNUMBER(E9),ISNUMBER($B$2)),((E9*Datos!$B10)/(1+Datos!$C10)/$B$2)-1,IF(ISNUMBER($B$2),"-","INSERTAR COSTO"))</f>
        <v/>
      </c>
      <c r="G9" s="44">
        <f>IF(AND(ISNUMBER(Datos!G10),ISNUMBER($G$3),$G$3&gt;0),$G$3*(1-Datos!G10)/Datos!B10,"-")</f>
        <v/>
      </c>
      <c r="H9" s="8">
        <f>IF(AND(ISNUMBER(G9),ISNUMBER($B$2)),((G9*Datos!$B10)/(1+Datos!$C10)/$B$2)-1,IF(ISNUMBER($B$2),"-","INSERTAR COSTO"))</f>
        <v/>
      </c>
      <c r="I9" s="7">
        <f>IF(AND(ISNUMBER(Datos!H10),ISNUMBER($I$3),$I$3&gt;0),$I$3*(1-Datos!H10)/Datos!B10,"-")</f>
        <v/>
      </c>
      <c r="J9" s="8">
        <f>IF(AND(ISNUMBER(I9),ISNUMBER($B$2)),((I9*Datos!$B10)/(1+Datos!$C10)/$B$2)-1,IF(ISNUMBER($B$2),"-","INSERTAR COSTO"))</f>
        <v/>
      </c>
      <c r="K9" s="44">
        <f>IF(AND(ISNUMBER(Datos!I10),ISNUMBER($K$3),$K$3&gt;0),$K$3*(1-Datos!I10)/Datos!B10,"-")</f>
        <v/>
      </c>
      <c r="L9" s="8">
        <f>IF(AND(ISNUMBER(K9),ISNUMBER($B$2)),((K9*Datos!$B10)/(1+Datos!$C10)/$B$2)-1,IF(ISNUMBER($B$2),"-","INSERTAR COSTO"))</f>
        <v/>
      </c>
      <c r="M9" s="7">
        <f>IF(AND(ISNUMBER(Datos!L10),ISNUMBER($I$3),$I$3&gt;0),$I$3*(1-Datos!L10)/Datos!F10,"-")</f>
        <v/>
      </c>
      <c r="N9" s="73">
        <f>IF(AND(ISNUMBER(M9),ISNUMBER($B$2)),((M9*Datos!$B10)/(1+Datos!$C10)/$B$2)-1,IF(ISNUMBER($B$2),"-","INSERTAR COSTO"))</f>
        <v/>
      </c>
      <c r="O9" s="77">
        <f>IF(AND(ISNUMBER(Datos!D10),ISNUMBER($O$3),$O$3&gt;0),$O$3*(1+Datos!D10)/Datos!B10,"-")</f>
        <v/>
      </c>
      <c r="P9" s="76">
        <f>IF(AND(ISNUMBER(O9),ISNUMBER($B$2)),((O9*Datos!$B10)/(1+Datos!$C10)/$B$2)-1,IF(ISNUMBER($B$2),"-","INSERTAR COSTO"))</f>
        <v/>
      </c>
    </row>
    <row r="10" ht="14.5" customHeight="1">
      <c r="A10" s="11">
        <f>Datos!A11</f>
        <v/>
      </c>
      <c r="B10" s="11" t="inlineStr">
        <is>
          <t>12 con int Macro</t>
        </is>
      </c>
      <c r="C10" s="44">
        <f>IF(AND(ISNUMBER(Datos!E11),ISNUMBER($C$3),$C$3&gt;0),$C$3*(1-Datos!E11)/Datos!B11,"-")</f>
        <v/>
      </c>
      <c r="D10" s="8">
        <f>IF(AND(ISNUMBER(C10),ISNUMBER($B$2)),((C10*Datos!$B11)/(1+Datos!$C11)/$B$2)-1,IF(ISNUMBER($B$2),"-","INSERTAR COSTO"))</f>
        <v/>
      </c>
      <c r="E10" s="44">
        <f>IF(AND(ISNUMBER(Datos!F11),ISNUMBER($E$3),$E$3&gt;0),$E$3*(1-Datos!F11)/Datos!B11,"-")</f>
        <v/>
      </c>
      <c r="F10" s="8">
        <f>IF(AND(ISNUMBER(E10),ISNUMBER($B$2)),((E10*Datos!$B11)/(1+Datos!$C11)/$B$2)-1,IF(ISNUMBER($B$2),"-","INSERTAR COSTO"))</f>
        <v/>
      </c>
      <c r="G10" s="44">
        <f>IF(AND(ISNUMBER(Datos!G11),ISNUMBER($G$3),$G$3&gt;0),$G$3*(1-Datos!G11)/Datos!B11,"-")</f>
        <v/>
      </c>
      <c r="H10" s="8">
        <f>IF(AND(ISNUMBER(G10),ISNUMBER($B$2)),((G10*Datos!$B11)/(1+Datos!$C11)/$B$2)-1,IF(ISNUMBER($B$2),"-","INSERTAR COSTO"))</f>
        <v/>
      </c>
      <c r="I10" s="7">
        <f>IF(AND(ISNUMBER(Datos!H11),ISNUMBER($I$3),$I$3&gt;0),$I$3*(1-Datos!H11)/Datos!B11,"-")</f>
        <v/>
      </c>
      <c r="J10" s="8">
        <f>IF(AND(ISNUMBER(I10),ISNUMBER($B$2)),((I10*Datos!$B11)/(1+Datos!$C11)/$B$2)-1,IF(ISNUMBER($B$2),"-","INSERTAR COSTO"))</f>
        <v/>
      </c>
      <c r="K10" s="44">
        <f>IF(AND(ISNUMBER(Datos!I11),ISNUMBER($K$3),$K$3&gt;0),$K$3*(1-Datos!I11)/Datos!B11,"-")</f>
        <v/>
      </c>
      <c r="L10" s="8">
        <f>IF(AND(ISNUMBER(K10),ISNUMBER($B$2)),((K10*Datos!$B11)/(1+Datos!$C11)/$B$2)-1,IF(ISNUMBER($B$2),"-","INSERTAR COSTO"))</f>
        <v/>
      </c>
      <c r="M10" s="7">
        <f>IF(AND(ISNUMBER(Datos!L11),ISNUMBER($I$3),$I$3&gt;0),$I$3*(1-Datos!L11)/Datos!F11,"-")</f>
        <v/>
      </c>
      <c r="N10" s="73">
        <f>IF(AND(ISNUMBER(M10),ISNUMBER($B$2)),((M10*Datos!$B11)/(1+Datos!$C11)/$B$2)-1,IF(ISNUMBER($B$2),"-","INSERTAR COSTO"))</f>
        <v/>
      </c>
      <c r="O10" s="77">
        <f>IF(AND(ISNUMBER(Datos!D11),ISNUMBER($O$3),$O$3&gt;0),$O$3*(1+Datos!D11)/Datos!B11,"-")</f>
        <v/>
      </c>
      <c r="P10" s="76">
        <f>IF(AND(ISNUMBER(O10),ISNUMBER($B$2)),((O10*Datos!$B11)/(1+Datos!$C11)/$B$2)-1,IF(ISNUMBER($B$2),"-","INSERTAR COSTO"))</f>
        <v/>
      </c>
    </row>
    <row r="11" ht="14.5" customHeight="1">
      <c r="A11" s="11">
        <f>Datos!A12</f>
        <v/>
      </c>
      <c r="B11" s="11" t="inlineStr">
        <is>
          <t>15 sin int Macro</t>
        </is>
      </c>
      <c r="C11" s="44">
        <f>IF(AND(ISNUMBER(Datos!E12),ISNUMBER($C$3),$C$3&gt;0),$C$3*(1-Datos!E12)/Datos!B12,"-")</f>
        <v/>
      </c>
      <c r="D11" s="8">
        <f>IF(AND(ISNUMBER(C11),ISNUMBER($B$2)),((C11*Datos!$B12)/(1+Datos!$C12)/$B$2)-1,IF(ISNUMBER($B$2),"-","INSERTAR COSTO"))</f>
        <v/>
      </c>
      <c r="E11" s="44">
        <f>IF(AND(ISNUMBER(Datos!F12),ISNUMBER($E$3),$E$3&gt;0),$E$3*(1-Datos!F12)/Datos!B12,"-")</f>
        <v/>
      </c>
      <c r="F11" s="8">
        <f>IF(AND(ISNUMBER(E11),ISNUMBER($B$2)),((E11*Datos!$B12)/(1+Datos!$C12)/$B$2)-1,IF(ISNUMBER($B$2),"-","INSERTAR COSTO"))</f>
        <v/>
      </c>
      <c r="G11" s="44">
        <f>IF(AND(ISNUMBER(Datos!G12),ISNUMBER($G$3),$G$3&gt;0),$G$3*(1-Datos!G12)/Datos!B12,"-")</f>
        <v/>
      </c>
      <c r="H11" s="8">
        <f>IF(AND(ISNUMBER(G11),ISNUMBER($B$2)),((G11*Datos!$B12)/(1+Datos!$C12)/$B$2)-1,IF(ISNUMBER($B$2),"-","INSERTAR COSTO"))</f>
        <v/>
      </c>
      <c r="I11" s="7">
        <f>IF(AND(ISNUMBER(Datos!H12),ISNUMBER($I$3),$I$3&gt;0),$I$3*(1-Datos!H12)/Datos!B12,"-")</f>
        <v/>
      </c>
      <c r="J11" s="8">
        <f>IF(AND(ISNUMBER(I11),ISNUMBER($B$2)),((I11*Datos!$B12)/(1+Datos!$C12)/$B$2)-1,IF(ISNUMBER($B$2),"-","INSERTAR COSTO"))</f>
        <v/>
      </c>
      <c r="K11" s="44">
        <f>IF(AND(ISNUMBER(Datos!I12),ISNUMBER($K$3),$K$3&gt;0),$K$3*(1-Datos!I12)/Datos!B12,"-")</f>
        <v/>
      </c>
      <c r="L11" s="8">
        <f>IF(AND(ISNUMBER(K11),ISNUMBER($B$2)),((K11*Datos!$B12)/(1+Datos!$C12)/$B$2)-1,IF(ISNUMBER($B$2),"-","INSERTAR COSTO"))</f>
        <v/>
      </c>
      <c r="M11" s="7">
        <f>IF(AND(ISNUMBER(Datos!L12),ISNUMBER($I$3),$I$3&gt;0),$I$3*(1-Datos!L12)/Datos!F12,"-")</f>
        <v/>
      </c>
      <c r="N11" s="73">
        <f>IF(AND(ISNUMBER(M11),ISNUMBER($B$2)),((M11*Datos!$B12)/(1+Datos!$C12)/$B$2)-1,IF(ISNUMBER($B$2),"-","INSERTAR COSTO"))</f>
        <v/>
      </c>
      <c r="O11" s="77">
        <f>IF(AND(ISNUMBER(Datos!D12),ISNUMBER($O$3),$O$3&gt;0),$O$3*(1+Datos!D12)/Datos!B12,"-")</f>
        <v/>
      </c>
      <c r="P11" s="76">
        <f>IF(AND(ISNUMBER(O11),ISNUMBER($B$2)),((O11*Datos!$B12)/(1+Datos!$C12)/$B$2)-1,IF(ISNUMBER($B$2),"-","INSERTAR COSTO"))</f>
        <v/>
      </c>
    </row>
    <row r="12" ht="14.5" customHeight="1">
      <c r="A12" s="11">
        <f>Datos!A13</f>
        <v/>
      </c>
      <c r="B12" s="11" t="inlineStr">
        <is>
          <t>15 con int Macro</t>
        </is>
      </c>
      <c r="C12" s="44">
        <f>IF(AND(ISNUMBER(Datos!E13),ISNUMBER($C$3),$C$3&gt;0),$C$3*(1-Datos!E13)/Datos!B13,"-")</f>
        <v/>
      </c>
      <c r="D12" s="8">
        <f>IF(AND(ISNUMBER(C12),ISNUMBER($B$2)),((C12*Datos!$B13)/(1+Datos!$C13)/$B$2)-1,IF(ISNUMBER($B$2),"-","INSERTAR COSTO"))</f>
        <v/>
      </c>
      <c r="E12" s="44">
        <f>IF(AND(ISNUMBER(Datos!F13),ISNUMBER($E$3),$E$3&gt;0),$E$3*(1-Datos!F13)/Datos!B13,"-")</f>
        <v/>
      </c>
      <c r="F12" s="8">
        <f>IF(AND(ISNUMBER(E12),ISNUMBER($B$2)),((E12*Datos!$B13)/(1+Datos!$C13)/$B$2)-1,IF(ISNUMBER($B$2),"-","INSERTAR COSTO"))</f>
        <v/>
      </c>
      <c r="G12" s="44">
        <f>IF(AND(ISNUMBER(Datos!G13),ISNUMBER($G$3),$G$3&gt;0),$G$3*(1-Datos!G13)/Datos!B13,"-")</f>
        <v/>
      </c>
      <c r="H12" s="8">
        <f>IF(AND(ISNUMBER(G12),ISNUMBER($B$2)),((G12*Datos!$B13)/(1+Datos!$C13)/$B$2)-1,IF(ISNUMBER($B$2),"-","INSERTAR COSTO"))</f>
        <v/>
      </c>
      <c r="I12" s="7">
        <f>IF(AND(ISNUMBER(Datos!H13),ISNUMBER($I$3),$I$3&gt;0),$I$3*(1-Datos!H13)/Datos!B13,"-")</f>
        <v/>
      </c>
      <c r="J12" s="8">
        <f>IF(AND(ISNUMBER(I12),ISNUMBER($B$2)),((I12*Datos!$B13)/(1+Datos!$C13)/$B$2)-1,IF(ISNUMBER($B$2),"-","INSERTAR COSTO"))</f>
        <v/>
      </c>
      <c r="K12" s="44">
        <f>IF(AND(ISNUMBER(Datos!I13),ISNUMBER($K$3),$K$3&gt;0),$K$3*(1-Datos!I13)/Datos!B13,"-")</f>
        <v/>
      </c>
      <c r="L12" s="8">
        <f>IF(AND(ISNUMBER(K12),ISNUMBER($B$2)),((K12*Datos!$B13)/(1+Datos!$C13)/$B$2)-1,IF(ISNUMBER($B$2),"-","INSERTAR COSTO"))</f>
        <v/>
      </c>
      <c r="M12" s="7">
        <f>IF(AND(ISNUMBER(Datos!L13),ISNUMBER($I$3),$I$3&gt;0),$I$3*(1-Datos!L13)/Datos!F13,"-")</f>
        <v/>
      </c>
      <c r="N12" s="73">
        <f>IF(AND(ISNUMBER(M12),ISNUMBER($B$2)),((M12*Datos!$B13)/(1+Datos!$C13)/$B$2)-1,IF(ISNUMBER($B$2),"-","INSERTAR COSTO"))</f>
        <v/>
      </c>
      <c r="O12" s="77">
        <f>IF(AND(ISNUMBER(Datos!D13),ISNUMBER($O$3),$O$3&gt;0),$O$3*(1+Datos!D13)/Datos!B13,"-")</f>
        <v/>
      </c>
      <c r="P12" s="76">
        <f>IF(AND(ISNUMBER(O12),ISNUMBER($B$2)),((O12*Datos!$B13)/(1+Datos!$C13)/$B$2)-1,IF(ISNUMBER($B$2),"-","INSERTAR COSTO"))</f>
        <v/>
      </c>
    </row>
    <row r="13" ht="14.5" customHeight="1">
      <c r="A13" s="11">
        <f>Datos!A14</f>
        <v/>
      </c>
      <c r="B13" s="11" t="inlineStr">
        <is>
          <t>18 sin int Macro</t>
        </is>
      </c>
      <c r="C13" s="44">
        <f>IF(AND(ISNUMBER(Datos!E14),ISNUMBER($C$3),$C$3&gt;0),$C$3*(1-Datos!E14)/Datos!B14,"-")</f>
        <v/>
      </c>
      <c r="D13" s="8">
        <f>IF(AND(ISNUMBER(C13),ISNUMBER($B$2)),((C13*Datos!$B14)/(1+Datos!$C14)/$B$2)-1,IF(ISNUMBER($B$2),"-","INSERTAR COSTO"))</f>
        <v/>
      </c>
      <c r="E13" s="44">
        <f>IF(AND(ISNUMBER(Datos!F14),ISNUMBER($E$3),$E$3&gt;0),$E$3*(1-Datos!F14)/Datos!B14,"-")</f>
        <v/>
      </c>
      <c r="F13" s="8">
        <f>IF(AND(ISNUMBER(E13),ISNUMBER($B$2)),((E13*Datos!$B14)/(1+Datos!$C14)/$B$2)-1,IF(ISNUMBER($B$2),"-","INSERTAR COSTO"))</f>
        <v/>
      </c>
      <c r="G13" s="44">
        <f>IF(AND(ISNUMBER(Datos!G14),ISNUMBER($G$3),$G$3&gt;0),$G$3*(1-Datos!G14)/Datos!B14,"-")</f>
        <v/>
      </c>
      <c r="H13" s="8">
        <f>IF(AND(ISNUMBER(G13),ISNUMBER($B$2)),((G13*Datos!$B14)/(1+Datos!$C14)/$B$2)-1,IF(ISNUMBER($B$2),"-","INSERTAR COSTO"))</f>
        <v/>
      </c>
      <c r="I13" s="7">
        <f>IF(AND(ISNUMBER(Datos!H14),ISNUMBER($I$3),$I$3&gt;0),$I$3*(1-Datos!H14)/Datos!B14,"-")</f>
        <v/>
      </c>
      <c r="J13" s="8">
        <f>IF(AND(ISNUMBER(I13),ISNUMBER($B$2)),((I13*Datos!$B14)/(1+Datos!$C14)/$B$2)-1,IF(ISNUMBER($B$2),"-","INSERTAR COSTO"))</f>
        <v/>
      </c>
      <c r="K13" s="44">
        <f>IF(AND(ISNUMBER(Datos!I14),ISNUMBER($K$3),$K$3&gt;0),$K$3*(1-Datos!I14)/Datos!B14,"-")</f>
        <v/>
      </c>
      <c r="L13" s="8">
        <f>IF(AND(ISNUMBER(K13),ISNUMBER($B$2)),((K13*Datos!$B14)/(1+Datos!$C14)/$B$2)-1,IF(ISNUMBER($B$2),"-","INSERTAR COSTO"))</f>
        <v/>
      </c>
      <c r="M13" s="7">
        <f>IF(AND(ISNUMBER(Datos!L14),ISNUMBER($I$3),$I$3&gt;0),$I$3*(1-Datos!L14)/Datos!F14,"-")</f>
        <v/>
      </c>
      <c r="N13" s="73">
        <f>IF(AND(ISNUMBER(M13),ISNUMBER($B$2)),((M13*Datos!$B14)/(1+Datos!$C14)/$B$2)-1,IF(ISNUMBER($B$2),"-","INSERTAR COSTO"))</f>
        <v/>
      </c>
      <c r="O13" s="77">
        <f>IF(AND(ISNUMBER(Datos!D14),ISNUMBER($O$3),$O$3&gt;0),$O$3*(1+Datos!D14)/Datos!B14,"-")</f>
        <v/>
      </c>
      <c r="P13" s="76">
        <f>IF(AND(ISNUMBER(O13),ISNUMBER($B$2)),((O13*Datos!$B14)/(1+Datos!$C14)/$B$2)-1,IF(ISNUMBER($B$2),"-","INSERTAR COSTO"))</f>
        <v/>
      </c>
    </row>
    <row r="14" ht="14.5" customHeight="1">
      <c r="A14" s="11">
        <f>Datos!A15</f>
        <v/>
      </c>
      <c r="B14" s="11" t="inlineStr">
        <is>
          <t>18 con int Macro</t>
        </is>
      </c>
      <c r="C14" s="44">
        <f>IF(AND(ISNUMBER(Datos!E15),ISNUMBER($C$3),$C$3&gt;0),$C$3*(1-Datos!E15)/Datos!B15,"-")</f>
        <v/>
      </c>
      <c r="D14" s="8">
        <f>IF(AND(ISNUMBER(C14),ISNUMBER($B$2)),((C14*Datos!$B15)/(1+Datos!$C15)/$B$2)-1,IF(ISNUMBER($B$2),"-","INSERTAR COSTO"))</f>
        <v/>
      </c>
      <c r="E14" s="44">
        <f>IF(AND(ISNUMBER(Datos!F15),ISNUMBER($E$3),$E$3&gt;0),$E$3*(1-Datos!F15)/Datos!B15,"-")</f>
        <v/>
      </c>
      <c r="F14" s="8">
        <f>IF(AND(ISNUMBER(E14),ISNUMBER($B$2)),((E14*Datos!$B15)/(1+Datos!$C15)/$B$2)-1,IF(ISNUMBER($B$2),"-","INSERTAR COSTO"))</f>
        <v/>
      </c>
      <c r="G14" s="44">
        <f>IF(AND(ISNUMBER(Datos!G15),ISNUMBER($G$3),$G$3&gt;0),$G$3*(1-Datos!G15)/Datos!B15,"-")</f>
        <v/>
      </c>
      <c r="H14" s="8">
        <f>IF(AND(ISNUMBER(G14),ISNUMBER($B$2)),((G14*Datos!$B15)/(1+Datos!$C15)/$B$2)-1,IF(ISNUMBER($B$2),"-","INSERTAR COSTO"))</f>
        <v/>
      </c>
      <c r="I14" s="7">
        <f>IF(AND(ISNUMBER(Datos!H15),ISNUMBER($I$3),$I$3&gt;0),$I$3*(1-Datos!H15)/Datos!B15,"-")</f>
        <v/>
      </c>
      <c r="J14" s="8">
        <f>IF(AND(ISNUMBER(I14),ISNUMBER($B$2)),((I14*Datos!$B15)/(1+Datos!$C15)/$B$2)-1,IF(ISNUMBER($B$2),"-","INSERTAR COSTO"))</f>
        <v/>
      </c>
      <c r="K14" s="44">
        <f>IF(AND(ISNUMBER(Datos!I15),ISNUMBER($K$3),$K$3&gt;0),$K$3*(1-Datos!I15)/Datos!B15,"-")</f>
        <v/>
      </c>
      <c r="L14" s="8">
        <f>IF(AND(ISNUMBER(K14),ISNUMBER($B$2)),((K14*Datos!$B15)/(1+Datos!$C15)/$B$2)-1,IF(ISNUMBER($B$2),"-","INSERTAR COSTO"))</f>
        <v/>
      </c>
      <c r="M14" s="7">
        <f>IF(AND(ISNUMBER(Datos!L15),ISNUMBER($I$3),$I$3&gt;0),$I$3*(1-Datos!L15)/Datos!F15,"-")</f>
        <v/>
      </c>
      <c r="N14" s="73">
        <f>IF(AND(ISNUMBER(M14),ISNUMBER($B$2)),((M14*Datos!$B15)/(1+Datos!$C15)/$B$2)-1,IF(ISNUMBER($B$2),"-","INSERTAR COSTO"))</f>
        <v/>
      </c>
      <c r="O14" s="77">
        <f>IF(AND(ISNUMBER(Datos!D15),ISNUMBER($O$3),$O$3&gt;0),$O$3*(1+Datos!D15)/Datos!B15,"-")</f>
        <v/>
      </c>
      <c r="P14" s="76">
        <f>IF(AND(ISNUMBER(O14),ISNUMBER($B$2)),((O14*Datos!$B15)/(1+Datos!$C15)/$B$2)-1,IF(ISNUMBER($B$2),"-","INSERTAR COSTO"))</f>
        <v/>
      </c>
    </row>
    <row r="15" ht="14.5" customHeight="1">
      <c r="A15" s="15" t="inlineStr">
        <is>
          <t>VISA/MASTER NACION</t>
        </is>
      </c>
      <c r="B15" s="16" t="inlineStr">
        <is>
          <t>3 sin int Nación 5%</t>
        </is>
      </c>
      <c r="C15" s="44">
        <f>IF(AND(ISNUMBER(Datos!E16),ISNUMBER($C$3),$C$3&gt;0),$C$3*(1-Datos!E16)/Datos!B16,"-")</f>
        <v/>
      </c>
      <c r="D15" s="8">
        <f>IF(AND(ISNUMBER(C15),ISNUMBER($B$2)),((C15*Datos!$B16)/(1+Datos!$C16)/$B$2)-1,IF(ISNUMBER($B$2),"-","INSERTAR COSTO"))</f>
        <v/>
      </c>
      <c r="E15" s="44">
        <f>IF(AND(ISNUMBER(Datos!F16),ISNUMBER($E$3),$E$3&gt;0),$E$3*(1-Datos!F16)/Datos!B16,"-")</f>
        <v/>
      </c>
      <c r="F15" s="8">
        <f>IF(AND(ISNUMBER(E15),ISNUMBER($B$2)),((E15*Datos!$B16)/(1+Datos!$C16)/$B$2)-1,IF(ISNUMBER($B$2),"-","INSERTAR COSTO"))</f>
        <v/>
      </c>
      <c r="G15" s="44">
        <f>IF(AND(ISNUMBER(Datos!G16),ISNUMBER($G$3),$G$3&gt;0),$G$3*(1-Datos!G16)/Datos!B16,"-")</f>
        <v/>
      </c>
      <c r="H15" s="8">
        <f>IF(AND(ISNUMBER(G15),ISNUMBER($B$2)),((G15*Datos!$B16)/(1+Datos!$C16)/$B$2)-1,IF(ISNUMBER($B$2),"-","INSERTAR COSTO"))</f>
        <v/>
      </c>
      <c r="I15" s="7">
        <f>IF(AND(ISNUMBER(Datos!H16),ISNUMBER($I$3),$I$3&gt;0),$I$3*(1-Datos!H16)/Datos!B16,"-")</f>
        <v/>
      </c>
      <c r="J15" s="8">
        <f>IF(AND(ISNUMBER(I15),ISNUMBER($B$2)),((I15*Datos!$B16)/(1+Datos!$C16)/$B$2)-1,IF(ISNUMBER($B$2),"-","INSERTAR COSTO"))</f>
        <v/>
      </c>
      <c r="K15" s="44">
        <f>IF(AND(ISNUMBER(Datos!I16),ISNUMBER($K$3),$K$3&gt;0),$K$3*(1-Datos!I16)/Datos!B16,"-")</f>
        <v/>
      </c>
      <c r="L15" s="8">
        <f>IF(AND(ISNUMBER(K15),ISNUMBER($B$2)),((K15*Datos!$B16)/(1+Datos!$C16)/$B$2)-1,IF(ISNUMBER($B$2),"-","INSERTAR COSTO"))</f>
        <v/>
      </c>
      <c r="M15" s="7">
        <f>IF(AND(ISNUMBER(Datos!L16),ISNUMBER($I$3),$I$3&gt;0),$I$3*(1-Datos!L16)/Datos!F16,"-")</f>
        <v/>
      </c>
      <c r="N15" s="73">
        <f>IF(AND(ISNUMBER(M15),ISNUMBER($B$2)),((M15*Datos!$B16)/(1+Datos!$C16)/$B$2)-1,IF(ISNUMBER($B$2),"-","INSERTAR COSTO"))</f>
        <v/>
      </c>
      <c r="O15" s="77">
        <f>IF(AND(ISNUMBER(Datos!D16),ISNUMBER($O$3),$O$3&gt;0),$O$3*(1+Datos!D16)/Datos!B16,"-")</f>
        <v/>
      </c>
      <c r="P15" s="76">
        <f>IF(AND(ISNUMBER(O15),ISNUMBER($B$2)),((O15*Datos!$B16)/(1+Datos!$C16)/$B$2)-1,IF(ISNUMBER($B$2),"-","INSERTAR COSTO"))</f>
        <v/>
      </c>
    </row>
    <row r="16" ht="14.5" customHeight="1">
      <c r="A16" s="15" t="inlineStr">
        <is>
          <t>VISA/MASTER NACION</t>
        </is>
      </c>
      <c r="B16" s="16" t="inlineStr">
        <is>
          <t>6 sin int Nación 5%</t>
        </is>
      </c>
      <c r="C16" s="44">
        <f>IF(AND(ISNUMBER(Datos!E17),ISNUMBER($C$3),$C$3&gt;0),$C$3*(1-Datos!E17)/Datos!B17,"-")</f>
        <v/>
      </c>
      <c r="D16" s="8">
        <f>IF(AND(ISNUMBER(C16),ISNUMBER($B$2)),((C16*Datos!$B17)/(1+Datos!$C17)/$B$2)-1,IF(ISNUMBER($B$2),"-","INSERTAR COSTO"))</f>
        <v/>
      </c>
      <c r="E16" s="44">
        <f>IF(AND(ISNUMBER(Datos!F17),ISNUMBER($E$3),$E$3&gt;0),$E$3*(1-Datos!F17)/Datos!B17,"-")</f>
        <v/>
      </c>
      <c r="F16" s="8">
        <f>IF(AND(ISNUMBER(E16),ISNUMBER($B$2)),((E16*Datos!$B17)/(1+Datos!$C17)/$B$2)-1,IF(ISNUMBER($B$2),"-","INSERTAR COSTO"))</f>
        <v/>
      </c>
      <c r="G16" s="44">
        <f>IF(AND(ISNUMBER(Datos!G17),ISNUMBER($G$3),$G$3&gt;0),$G$3*(1-Datos!G17)/Datos!B17,"-")</f>
        <v/>
      </c>
      <c r="H16" s="8">
        <f>IF(AND(ISNUMBER(G16),ISNUMBER($B$2)),((G16*Datos!$B17)/(1+Datos!$C17)/$B$2)-1,IF(ISNUMBER($B$2),"-","INSERTAR COSTO"))</f>
        <v/>
      </c>
      <c r="I16" s="7">
        <f>IF(AND(ISNUMBER(Datos!H17),ISNUMBER($I$3),$I$3&gt;0),$I$3*(1-Datos!H17)/Datos!B17,"-")</f>
        <v/>
      </c>
      <c r="J16" s="8">
        <f>IF(AND(ISNUMBER(I16),ISNUMBER($B$2)),((I16*Datos!$B17)/(1+Datos!$C17)/$B$2)-1,IF(ISNUMBER($B$2),"-","INSERTAR COSTO"))</f>
        <v/>
      </c>
      <c r="K16" s="44">
        <f>IF(AND(ISNUMBER(Datos!I17),ISNUMBER($K$3),$K$3&gt;0),$K$3*(1-Datos!I17)/Datos!B17,"-")</f>
        <v/>
      </c>
      <c r="L16" s="8">
        <f>IF(AND(ISNUMBER(K16),ISNUMBER($B$2)),((K16*Datos!$B17)/(1+Datos!$C17)/$B$2)-1,IF(ISNUMBER($B$2),"-","INSERTAR COSTO"))</f>
        <v/>
      </c>
      <c r="M16" s="7">
        <f>IF(AND(ISNUMBER(Datos!L17),ISNUMBER($I$3),$I$3&gt;0),$I$3*(1-Datos!L17)/Datos!F17,"-")</f>
        <v/>
      </c>
      <c r="N16" s="73">
        <f>IF(AND(ISNUMBER(M16),ISNUMBER($B$2)),((M16*Datos!$B17)/(1+Datos!$C17)/$B$2)-1,IF(ISNUMBER($B$2),"-","INSERTAR COSTO"))</f>
        <v/>
      </c>
      <c r="O16" s="77">
        <f>IF(AND(ISNUMBER(Datos!D17),ISNUMBER($O$3),$O$3&gt;0),$O$3*(1+Datos!D17)/Datos!B17,"-")</f>
        <v/>
      </c>
      <c r="P16" s="76">
        <f>IF(AND(ISNUMBER(O16),ISNUMBER($B$2)),((O16*Datos!$B17)/(1+Datos!$C17)/$B$2)-1,IF(ISNUMBER($B$2),"-","INSERTAR COSTO"))</f>
        <v/>
      </c>
    </row>
    <row r="17" ht="14.5" customHeight="1">
      <c r="A17" s="15" t="inlineStr">
        <is>
          <t>VISA/MASTER NACION</t>
        </is>
      </c>
      <c r="B17" s="16" t="inlineStr">
        <is>
          <t>12 sin int Nación 5%</t>
        </is>
      </c>
      <c r="C17" s="44">
        <f>IF(AND(ISNUMBER(Datos!E18),ISNUMBER($C$3),$C$3&gt;0),$C$3*(1-Datos!E18)/Datos!B18,"-")</f>
        <v/>
      </c>
      <c r="D17" s="8">
        <f>IF(AND(ISNUMBER(C17),ISNUMBER($B$2)),((C17*Datos!$B18)/(1+Datos!$C18)/$B$2)-1,IF(ISNUMBER($B$2),"-","INSERTAR COSTO"))</f>
        <v/>
      </c>
      <c r="E17" s="44">
        <f>IF(AND(ISNUMBER(Datos!F18),ISNUMBER($E$3),$E$3&gt;0),$E$3*(1-Datos!F18)/Datos!B18,"-")</f>
        <v/>
      </c>
      <c r="F17" s="8">
        <f>IF(AND(ISNUMBER(E17),ISNUMBER($B$2)),((E17*Datos!$B18)/(1+Datos!$C18)/$B$2)-1,IF(ISNUMBER($B$2),"-","INSERTAR COSTO"))</f>
        <v/>
      </c>
      <c r="G17" s="44">
        <f>IF(AND(ISNUMBER(Datos!G18),ISNUMBER($G$3),$G$3&gt;0),$G$3*(1-Datos!G18)/Datos!B18,"-")</f>
        <v/>
      </c>
      <c r="H17" s="8">
        <f>IF(AND(ISNUMBER(G17),ISNUMBER($B$2)),((G17*Datos!$B18)/(1+Datos!$C18)/$B$2)-1,IF(ISNUMBER($B$2),"-","INSERTAR COSTO"))</f>
        <v/>
      </c>
      <c r="I17" s="7">
        <f>IF(AND(ISNUMBER(Datos!H18),ISNUMBER($I$3),$I$3&gt;0),$I$3*(1-Datos!H18)/Datos!B18,"-")</f>
        <v/>
      </c>
      <c r="J17" s="8">
        <f>IF(AND(ISNUMBER(I17),ISNUMBER($B$2)),((I17*Datos!$B18)/(1+Datos!$C18)/$B$2)-1,IF(ISNUMBER($B$2),"-","INSERTAR COSTO"))</f>
        <v/>
      </c>
      <c r="K17" s="44">
        <f>IF(AND(ISNUMBER(Datos!I18),ISNUMBER($K$3),$K$3&gt;0),$K$3*(1-Datos!I18)/Datos!B18,"-")</f>
        <v/>
      </c>
      <c r="L17" s="8">
        <f>IF(AND(ISNUMBER(K17),ISNUMBER($B$2)),((K17*Datos!$B18)/(1+Datos!$C18)/$B$2)-1,IF(ISNUMBER($B$2),"-","INSERTAR COSTO"))</f>
        <v/>
      </c>
      <c r="M17" s="7">
        <f>IF(AND(ISNUMBER(Datos!L18),ISNUMBER($I$3),$I$3&gt;0),$I$3*(1-Datos!L18)/Datos!F18,"-")</f>
        <v/>
      </c>
      <c r="N17" s="73">
        <f>IF(AND(ISNUMBER(M17),ISNUMBER($B$2)),((M17*Datos!$B18)/(1+Datos!$C18)/$B$2)-1,IF(ISNUMBER($B$2),"-","INSERTAR COSTO"))</f>
        <v/>
      </c>
      <c r="O17" s="77">
        <f>IF(AND(ISNUMBER(Datos!D18),ISNUMBER($O$3),$O$3&gt;0),$O$3*(1+Datos!D18)/Datos!B18,"-")</f>
        <v/>
      </c>
      <c r="P17" s="76">
        <f>IF(AND(ISNUMBER(O17),ISNUMBER($B$2)),((O17*Datos!$B18)/(1+Datos!$C18)/$B$2)-1,IF(ISNUMBER($B$2),"-","INSERTAR COSTO"))</f>
        <v/>
      </c>
    </row>
    <row r="18" ht="14.5" customHeight="1">
      <c r="A18" s="15" t="inlineStr">
        <is>
          <t>VISA/MASTER NACION</t>
        </is>
      </c>
      <c r="B18" s="16" t="inlineStr">
        <is>
          <t>12 sin int Nación</t>
        </is>
      </c>
      <c r="C18" s="44">
        <f>IF(AND(ISNUMBER(Datos!E19),ISNUMBER($C$3),$C$3&gt;0),$C$3*(1-Datos!E19)/Datos!B19,"-")</f>
        <v/>
      </c>
      <c r="D18" s="8">
        <f>IF(AND(ISNUMBER(C18),ISNUMBER($B$2)),((C18*Datos!$B19)/(1+Datos!$C19)/$B$2)-1,IF(ISNUMBER($B$2),"-","INSERTAR COSTO"))</f>
        <v/>
      </c>
      <c r="E18" s="44">
        <f>IF(AND(ISNUMBER(Datos!F19),ISNUMBER($E$3),$E$3&gt;0),$E$3*(1-Datos!F19)/Datos!B19,"-")</f>
        <v/>
      </c>
      <c r="F18" s="8">
        <f>IF(AND(ISNUMBER(E18),ISNUMBER($B$2)),((E18*Datos!$B19)/(1+Datos!$C19)/$B$2)-1,IF(ISNUMBER($B$2),"-","INSERTAR COSTO"))</f>
        <v/>
      </c>
      <c r="G18" s="44">
        <f>IF(AND(ISNUMBER(Datos!G19),ISNUMBER($G$3),$G$3&gt;0),$G$3*(1-Datos!G19)/Datos!B19,"-")</f>
        <v/>
      </c>
      <c r="H18" s="8">
        <f>IF(AND(ISNUMBER(G18),ISNUMBER($B$2)),((G18*Datos!$B19)/(1+Datos!$C19)/$B$2)-1,IF(ISNUMBER($B$2),"-","INSERTAR COSTO"))</f>
        <v/>
      </c>
      <c r="I18" s="7">
        <f>IF(AND(ISNUMBER(Datos!H19),ISNUMBER($I$3),$I$3&gt;0),$I$3*(1-Datos!H19)/Datos!B19,"-")</f>
        <v/>
      </c>
      <c r="J18" s="8">
        <f>IF(AND(ISNUMBER(I18),ISNUMBER($B$2)),((I18*Datos!$B19)/(1+Datos!$C19)/$B$2)-1,IF(ISNUMBER($B$2),"-","INSERTAR COSTO"))</f>
        <v/>
      </c>
      <c r="K18" s="44">
        <f>IF(AND(ISNUMBER(Datos!I19),ISNUMBER($K$3),$K$3&gt;0),$K$3*(1-Datos!I19)/Datos!B19,"-")</f>
        <v/>
      </c>
      <c r="L18" s="8">
        <f>IF(AND(ISNUMBER(K18),ISNUMBER($B$2)),((K18*Datos!$B19)/(1+Datos!$C19)/$B$2)-1,IF(ISNUMBER($B$2),"-","INSERTAR COSTO"))</f>
        <v/>
      </c>
      <c r="M18" s="7">
        <f>IF(AND(ISNUMBER(Datos!L19),ISNUMBER($I$3),$I$3&gt;0),$I$3*(1-Datos!L19)/Datos!F19,"-")</f>
        <v/>
      </c>
      <c r="N18" s="73">
        <f>IF(AND(ISNUMBER(M18),ISNUMBER($B$2)),((M18*Datos!$B19)/(1+Datos!$C19)/$B$2)-1,IF(ISNUMBER($B$2),"-","INSERTAR COSTO"))</f>
        <v/>
      </c>
      <c r="O18" s="77">
        <f>IF(AND(ISNUMBER(Datos!D19),ISNUMBER($O$3),$O$3&gt;0),$O$3*(1+Datos!D19)/Datos!B19,"-")</f>
        <v/>
      </c>
      <c r="P18" s="76">
        <f>IF(AND(ISNUMBER(O18),ISNUMBER($B$2)),((O18*Datos!$B19)/(1+Datos!$C19)/$B$2)-1,IF(ISNUMBER($B$2),"-","INSERTAR COSTO"))</f>
        <v/>
      </c>
    </row>
    <row r="19" ht="14.5" customHeight="1">
      <c r="A19" s="15" t="inlineStr">
        <is>
          <t>VISA/MASTER NACION</t>
        </is>
      </c>
      <c r="B19" s="16" t="inlineStr">
        <is>
          <t>15 sin int Nación</t>
        </is>
      </c>
      <c r="C19" s="44">
        <f>IF(AND(ISNUMBER(Datos!E20),ISNUMBER($C$3),$C$3&gt;0),$C$3*(1-Datos!E20)/Datos!B20,"-")</f>
        <v/>
      </c>
      <c r="D19" s="8">
        <f>IF(AND(ISNUMBER(C19),ISNUMBER($B$2)),((C19*Datos!$B20)/(1+Datos!$C20)/$B$2)-1,IF(ISNUMBER($B$2),"-","INSERTAR COSTO"))</f>
        <v/>
      </c>
      <c r="E19" s="44">
        <f>IF(AND(ISNUMBER(Datos!F20),ISNUMBER($E$3),$E$3&gt;0),$E$3*(1-Datos!F20)/Datos!B20,"-")</f>
        <v/>
      </c>
      <c r="F19" s="8">
        <f>IF(AND(ISNUMBER(E19),ISNUMBER($B$2)),((E19*Datos!$B20)/(1+Datos!$C20)/$B$2)-1,IF(ISNUMBER($B$2),"-","INSERTAR COSTO"))</f>
        <v/>
      </c>
      <c r="G19" s="44">
        <f>IF(AND(ISNUMBER(Datos!G20),ISNUMBER($G$3),$G$3&gt;0),$G$3*(1-Datos!G20)/Datos!B20,"-")</f>
        <v/>
      </c>
      <c r="H19" s="8">
        <f>IF(AND(ISNUMBER(G19),ISNUMBER($B$2)),((G19*Datos!$B20)/(1+Datos!$C20)/$B$2)-1,IF(ISNUMBER($B$2),"-","INSERTAR COSTO"))</f>
        <v/>
      </c>
      <c r="I19" s="7">
        <f>IF(AND(ISNUMBER(Datos!H20),ISNUMBER($I$3),$I$3&gt;0),$I$3*(1-Datos!H20)/Datos!B20,"-")</f>
        <v/>
      </c>
      <c r="J19" s="8">
        <f>IF(AND(ISNUMBER(I19),ISNUMBER($B$2)),((I19*Datos!$B20)/(1+Datos!$C20)/$B$2)-1,IF(ISNUMBER($B$2),"-","INSERTAR COSTO"))</f>
        <v/>
      </c>
      <c r="K19" s="44">
        <f>IF(AND(ISNUMBER(Datos!I20),ISNUMBER($K$3),$K$3&gt;0),$K$3*(1-Datos!I20)/Datos!B20,"-")</f>
        <v/>
      </c>
      <c r="L19" s="8">
        <f>IF(AND(ISNUMBER(K19),ISNUMBER($B$2)),((K19*Datos!$B20)/(1+Datos!$C20)/$B$2)-1,IF(ISNUMBER($B$2),"-","INSERTAR COSTO"))</f>
        <v/>
      </c>
      <c r="M19" s="7">
        <f>IF(AND(ISNUMBER(Datos!L20),ISNUMBER($I$3),$I$3&gt;0),$I$3*(1-Datos!L20)/Datos!F20,"-")</f>
        <v/>
      </c>
      <c r="N19" s="73">
        <f>IF(AND(ISNUMBER(M19),ISNUMBER($B$2)),((M19*Datos!$B20)/(1+Datos!$C20)/$B$2)-1,IF(ISNUMBER($B$2),"-","INSERTAR COSTO"))</f>
        <v/>
      </c>
      <c r="O19" s="77">
        <f>IF(AND(ISNUMBER(Datos!D20),ISNUMBER($O$3),$O$3&gt;0),$O$3*(1+Datos!D20)/Datos!B20,"-")</f>
        <v/>
      </c>
      <c r="P19" s="76">
        <f>IF(AND(ISNUMBER(O19),ISNUMBER($B$2)),((O19*Datos!$B20)/(1+Datos!$C20)/$B$2)-1,IF(ISNUMBER($B$2),"-","INSERTAR COSTO"))</f>
        <v/>
      </c>
    </row>
    <row r="20" ht="14.5" customHeight="1">
      <c r="A20" s="15" t="inlineStr">
        <is>
          <t>VISA/MASTER NACION</t>
        </is>
      </c>
      <c r="B20" s="16" t="inlineStr">
        <is>
          <t>15 con int Nación</t>
        </is>
      </c>
      <c r="C20" s="44">
        <f>IF(AND(ISNUMBER(Datos!E21),ISNUMBER($C$3),$C$3&gt;0),$C$3*(1-Datos!E21)/Datos!B21,"-")</f>
        <v/>
      </c>
      <c r="D20" s="8">
        <f>IF(AND(ISNUMBER(C20),ISNUMBER($B$2)),((C20*Datos!$B21)/(1+Datos!$C21)/$B$2)-1,IF(ISNUMBER($B$2),"-","INSERTAR COSTO"))</f>
        <v/>
      </c>
      <c r="E20" s="44">
        <f>IF(AND(ISNUMBER(Datos!F21),ISNUMBER($E$3),$E$3&gt;0),$E$3*(1-Datos!F21)/Datos!B21,"-")</f>
        <v/>
      </c>
      <c r="F20" s="8">
        <f>IF(AND(ISNUMBER(E20),ISNUMBER($B$2)),((E20*Datos!$B21)/(1+Datos!$C21)/$B$2)-1,IF(ISNUMBER($B$2),"-","INSERTAR COSTO"))</f>
        <v/>
      </c>
      <c r="G20" s="44">
        <f>IF(AND(ISNUMBER(Datos!G21),ISNUMBER($G$3),$G$3&gt;0),$G$3*(1-Datos!G21)/Datos!B21,"-")</f>
        <v/>
      </c>
      <c r="H20" s="8">
        <f>IF(AND(ISNUMBER(G20),ISNUMBER($B$2)),((G20*Datos!$B21)/(1+Datos!$C21)/$B$2)-1,IF(ISNUMBER($B$2),"-","INSERTAR COSTO"))</f>
        <v/>
      </c>
      <c r="I20" s="7">
        <f>IF(AND(ISNUMBER(Datos!H21),ISNUMBER($I$3),$I$3&gt;0),$I$3*(1-Datos!H21)/Datos!B21,"-")</f>
        <v/>
      </c>
      <c r="J20" s="8">
        <f>IF(AND(ISNUMBER(I20),ISNUMBER($B$2)),((I20*Datos!$B21)/(1+Datos!$C21)/$B$2)-1,IF(ISNUMBER($B$2),"-","INSERTAR COSTO"))</f>
        <v/>
      </c>
      <c r="K20" s="44">
        <f>IF(AND(ISNUMBER(Datos!I21),ISNUMBER($K$3),$K$3&gt;0),$K$3*(1-Datos!I21)/Datos!B21,"-")</f>
        <v/>
      </c>
      <c r="L20" s="8">
        <f>IF(AND(ISNUMBER(K20),ISNUMBER($B$2)),((K20*Datos!$B21)/(1+Datos!$C21)/$B$2)-1,IF(ISNUMBER($B$2),"-","INSERTAR COSTO"))</f>
        <v/>
      </c>
      <c r="M20" s="7">
        <f>IF(AND(ISNUMBER(Datos!L21),ISNUMBER($I$3),$I$3&gt;0),$I$3*(1-Datos!L21)/Datos!F21,"-")</f>
        <v/>
      </c>
      <c r="N20" s="73">
        <f>IF(AND(ISNUMBER(M20),ISNUMBER($B$2)),((M20*Datos!$B21)/(1+Datos!$C21)/$B$2)-1,IF(ISNUMBER($B$2),"-","INSERTAR COSTO"))</f>
        <v/>
      </c>
      <c r="O20" s="77">
        <f>IF(AND(ISNUMBER(Datos!D21),ISNUMBER($O$3),$O$3&gt;0),$O$3*(1+Datos!D21)/Datos!B21,"-")</f>
        <v/>
      </c>
      <c r="P20" s="76">
        <f>IF(AND(ISNUMBER(O20),ISNUMBER($B$2)),((O20*Datos!$B21)/(1+Datos!$C21)/$B$2)-1,IF(ISNUMBER($B$2),"-","INSERTAR COSTO"))</f>
        <v/>
      </c>
    </row>
    <row r="21" ht="14.5" customHeight="1">
      <c r="A21" s="15" t="inlineStr">
        <is>
          <t>VISA/MASTER NACION</t>
        </is>
      </c>
      <c r="B21" s="16" t="inlineStr">
        <is>
          <t>18 sin int Nación</t>
        </is>
      </c>
      <c r="C21" s="44">
        <f>IF(AND(ISNUMBER(Datos!E22),ISNUMBER($C$3),$C$3&gt;0),$C$3*(1-Datos!E22)/Datos!B22,"-")</f>
        <v/>
      </c>
      <c r="D21" s="8">
        <f>IF(AND(ISNUMBER(C21),ISNUMBER($B$2)),((C21*Datos!$B22)/(1+Datos!$C22)/$B$2)-1,IF(ISNUMBER($B$2),"-","INSERTAR COSTO"))</f>
        <v/>
      </c>
      <c r="E21" s="44">
        <f>IF(AND(ISNUMBER(Datos!F22),ISNUMBER($E$3),$E$3&gt;0),$E$3*(1-Datos!F22)/Datos!B22,"-")</f>
        <v/>
      </c>
      <c r="F21" s="8">
        <f>IF(AND(ISNUMBER(E21),ISNUMBER($B$2)),((E21*Datos!$B22)/(1+Datos!$C22)/$B$2)-1,IF(ISNUMBER($B$2),"-","INSERTAR COSTO"))</f>
        <v/>
      </c>
      <c r="G21" s="44">
        <f>IF(AND(ISNUMBER(Datos!G22),ISNUMBER($G$3),$G$3&gt;0),$G$3*(1-Datos!G22)/Datos!B22,"-")</f>
        <v/>
      </c>
      <c r="H21" s="8">
        <f>IF(AND(ISNUMBER(G21),ISNUMBER($B$2)),((G21*Datos!$B22)/(1+Datos!$C22)/$B$2)-1,IF(ISNUMBER($B$2),"-","INSERTAR COSTO"))</f>
        <v/>
      </c>
      <c r="I21" s="7">
        <f>IF(AND(ISNUMBER(Datos!H22),ISNUMBER($I$3),$I$3&gt;0),$I$3*(1-Datos!H22)/Datos!B22,"-")</f>
        <v/>
      </c>
      <c r="J21" s="8">
        <f>IF(AND(ISNUMBER(I21),ISNUMBER($B$2)),((I21*Datos!$B22)/(1+Datos!$C22)/$B$2)-1,IF(ISNUMBER($B$2),"-","INSERTAR COSTO"))</f>
        <v/>
      </c>
      <c r="K21" s="44">
        <f>IF(AND(ISNUMBER(Datos!I22),ISNUMBER($K$3),$K$3&gt;0),$K$3*(1-Datos!I22)/Datos!B22,"-")</f>
        <v/>
      </c>
      <c r="L21" s="8">
        <f>IF(AND(ISNUMBER(K21),ISNUMBER($B$2)),((K21*Datos!$B22)/(1+Datos!$C22)/$B$2)-1,IF(ISNUMBER($B$2),"-","INSERTAR COSTO"))</f>
        <v/>
      </c>
      <c r="M21" s="7">
        <f>IF(AND(ISNUMBER(Datos!L22),ISNUMBER($I$3),$I$3&gt;0),$I$3*(1-Datos!L22)/Datos!F22,"-")</f>
        <v/>
      </c>
      <c r="N21" s="73">
        <f>IF(AND(ISNUMBER(M21),ISNUMBER($B$2)),((M21*Datos!$B22)/(1+Datos!$C22)/$B$2)-1,IF(ISNUMBER($B$2),"-","INSERTAR COSTO"))</f>
        <v/>
      </c>
      <c r="O21" s="77">
        <f>IF(AND(ISNUMBER(Datos!D22),ISNUMBER($O$3),$O$3&gt;0),$O$3*(1+Datos!D22)/Datos!B22,"-")</f>
        <v/>
      </c>
      <c r="P21" s="76">
        <f>IF(AND(ISNUMBER(O21),ISNUMBER($B$2)),((O21*Datos!$B22)/(1+Datos!$C22)/$B$2)-1,IF(ISNUMBER($B$2),"-","INSERTAR COSTO"))</f>
        <v/>
      </c>
    </row>
    <row r="22" ht="14.5" customHeight="1">
      <c r="A22" s="15" t="inlineStr">
        <is>
          <t>VISA/MASTER NACION</t>
        </is>
      </c>
      <c r="B22" s="16" t="inlineStr">
        <is>
          <t>18 con int Nación</t>
        </is>
      </c>
      <c r="C22" s="44">
        <f>IF(AND(ISNUMBER(Datos!E23),ISNUMBER($C$3),$C$3&gt;0),$C$3*(1-Datos!E23)/Datos!B23,"-")</f>
        <v/>
      </c>
      <c r="D22" s="8">
        <f>IF(AND(ISNUMBER(C22),ISNUMBER($B$2)),((C22*Datos!$B23)/(1+Datos!$C23)/$B$2)-1,IF(ISNUMBER($B$2),"-","INSERTAR COSTO"))</f>
        <v/>
      </c>
      <c r="E22" s="44">
        <f>IF(AND(ISNUMBER(Datos!F23),ISNUMBER($E$3),$E$3&gt;0),$E$3*(1-Datos!F23)/Datos!B23,"-")</f>
        <v/>
      </c>
      <c r="F22" s="8">
        <f>IF(AND(ISNUMBER(E22),ISNUMBER($B$2)),((E22*Datos!$B23)/(1+Datos!$C23)/$B$2)-1,IF(ISNUMBER($B$2),"-","INSERTAR COSTO"))</f>
        <v/>
      </c>
      <c r="G22" s="44">
        <f>IF(AND(ISNUMBER(Datos!G23),ISNUMBER($G$3),$G$3&gt;0),$G$3*(1-Datos!G23)/Datos!B23,"-")</f>
        <v/>
      </c>
      <c r="H22" s="8">
        <f>IF(AND(ISNUMBER(G22),ISNUMBER($B$2)),((G22*Datos!$B23)/(1+Datos!$C23)/$B$2)-1,IF(ISNUMBER($B$2),"-","INSERTAR COSTO"))</f>
        <v/>
      </c>
      <c r="I22" s="7">
        <f>IF(AND(ISNUMBER(Datos!H23),ISNUMBER($I$3),$I$3&gt;0),$I$3*(1-Datos!H23)/Datos!B23,"-")</f>
        <v/>
      </c>
      <c r="J22" s="8">
        <f>IF(AND(ISNUMBER(I22),ISNUMBER($B$2)),((I22*Datos!$B23)/(1+Datos!$C23)/$B$2)-1,IF(ISNUMBER($B$2),"-","INSERTAR COSTO"))</f>
        <v/>
      </c>
      <c r="K22" s="44">
        <f>IF(AND(ISNUMBER(Datos!I23),ISNUMBER($K$3),$K$3&gt;0),$K$3*(1-Datos!I23)/Datos!B23,"-")</f>
        <v/>
      </c>
      <c r="L22" s="8">
        <f>IF(AND(ISNUMBER(K22),ISNUMBER($B$2)),((K22*Datos!$B23)/(1+Datos!$C23)/$B$2)-1,IF(ISNUMBER($B$2),"-","INSERTAR COSTO"))</f>
        <v/>
      </c>
      <c r="M22" s="7">
        <f>IF(AND(ISNUMBER(Datos!L23),ISNUMBER($I$3),$I$3&gt;0),$I$3*(1-Datos!L23)/Datos!F23,"-")</f>
        <v/>
      </c>
      <c r="N22" s="73">
        <f>IF(AND(ISNUMBER(M22),ISNUMBER($B$2)),((M22*Datos!$B23)/(1+Datos!$C23)/$B$2)-1,IF(ISNUMBER($B$2),"-","INSERTAR COSTO"))</f>
        <v/>
      </c>
      <c r="O22" s="77">
        <f>IF(AND(ISNUMBER(Datos!D23),ISNUMBER($O$3),$O$3&gt;0),$O$3*(1+Datos!D23)/Datos!B23,"-")</f>
        <v/>
      </c>
      <c r="P22" s="76">
        <f>IF(AND(ISNUMBER(O22),ISNUMBER($B$2)),((O22*Datos!$B23)/(1+Datos!$C23)/$B$2)-1,IF(ISNUMBER($B$2),"-","INSERTAR COSTO"))</f>
        <v/>
      </c>
    </row>
    <row r="23" ht="14.5" customHeight="1">
      <c r="A23" s="15" t="inlineStr">
        <is>
          <t>VISA/MASTER NACION</t>
        </is>
      </c>
      <c r="B23" s="16" t="inlineStr">
        <is>
          <t>20 sin int Nación</t>
        </is>
      </c>
      <c r="C23" s="44">
        <f>IF(AND(ISNUMBER(Datos!E24),ISNUMBER($C$3),$C$3&gt;0),$C$3*(1-Datos!E24)/Datos!B24,"-")</f>
        <v/>
      </c>
      <c r="D23" s="8">
        <f>IF(AND(ISNUMBER(C23),ISNUMBER($B$2)),((C23*Datos!$B24)/(1+Datos!$C24)/$B$2)-1,IF(ISNUMBER($B$2),"-","INSERTAR COSTO"))</f>
        <v/>
      </c>
      <c r="E23" s="44">
        <f>IF(AND(ISNUMBER(Datos!F24),ISNUMBER($E$3),$E$3&gt;0),$E$3*(1-Datos!F24)/Datos!B24,"-")</f>
        <v/>
      </c>
      <c r="F23" s="8">
        <f>IF(AND(ISNUMBER(E23),ISNUMBER($B$2)),((E23*Datos!$B24)/(1+Datos!$C24)/$B$2)-1,IF(ISNUMBER($B$2),"-","INSERTAR COSTO"))</f>
        <v/>
      </c>
      <c r="G23" s="44">
        <f>IF(AND(ISNUMBER(Datos!G24),ISNUMBER($G$3),$G$3&gt;0),$G$3*(1-Datos!G24)/Datos!B24,"-")</f>
        <v/>
      </c>
      <c r="H23" s="8">
        <f>IF(AND(ISNUMBER(G23),ISNUMBER($B$2)),((G23*Datos!$B24)/(1+Datos!$C24)/$B$2)-1,IF(ISNUMBER($B$2),"-","INSERTAR COSTO"))</f>
        <v/>
      </c>
      <c r="I23" s="7">
        <f>IF(AND(ISNUMBER(Datos!H24),ISNUMBER($I$3),$I$3&gt;0),$I$3*(1-Datos!H24)/Datos!B24,"-")</f>
        <v/>
      </c>
      <c r="J23" s="8">
        <f>IF(AND(ISNUMBER(I23),ISNUMBER($B$2)),((I23*Datos!$B24)/(1+Datos!$C24)/$B$2)-1,IF(ISNUMBER($B$2),"-","INSERTAR COSTO"))</f>
        <v/>
      </c>
      <c r="K23" s="44">
        <f>IF(AND(ISNUMBER(Datos!I24),ISNUMBER($K$3),$K$3&gt;0),$K$3*(1-Datos!I24)/Datos!B24,"-")</f>
        <v/>
      </c>
      <c r="L23" s="8">
        <f>IF(AND(ISNUMBER(K23),ISNUMBER($B$2)),((K23*Datos!$B24)/(1+Datos!$C24)/$B$2)-1,IF(ISNUMBER($B$2),"-","INSERTAR COSTO"))</f>
        <v/>
      </c>
      <c r="M23" s="7">
        <f>IF(AND(ISNUMBER(Datos!L24),ISNUMBER($I$3),$I$3&gt;0),$I$3*(1-Datos!L24)/Datos!F24,"-")</f>
        <v/>
      </c>
      <c r="N23" s="73">
        <f>IF(AND(ISNUMBER(M23),ISNUMBER($B$2)),((M23*Datos!$B24)/(1+Datos!$C24)/$B$2)-1,IF(ISNUMBER($B$2),"-","INSERTAR COSTO"))</f>
        <v/>
      </c>
      <c r="O23" s="77">
        <f>IF(AND(ISNUMBER(Datos!D24),ISNUMBER($O$3),$O$3&gt;0),$O$3*(1+Datos!D24)/Datos!B24,"-")</f>
        <v/>
      </c>
      <c r="P23" s="76">
        <f>IF(AND(ISNUMBER(O23),ISNUMBER($B$2)),((O23*Datos!$B24)/(1+Datos!$C24)/$B$2)-1,IF(ISNUMBER($B$2),"-","INSERTAR COSTO"))</f>
        <v/>
      </c>
    </row>
    <row r="24" ht="14.5" customHeight="1">
      <c r="A24" s="15" t="inlineStr">
        <is>
          <t>VISA/MASTER NACION</t>
        </is>
      </c>
      <c r="B24" s="16" t="inlineStr">
        <is>
          <t>20 con int Nación</t>
        </is>
      </c>
      <c r="C24" s="44">
        <f>IF(AND(ISNUMBER(Datos!E25),ISNUMBER($C$3),$C$3&gt;0),$C$3*(1-Datos!E25)/Datos!B25,"-")</f>
        <v/>
      </c>
      <c r="D24" s="8">
        <f>IF(AND(ISNUMBER(C24),ISNUMBER($B$2)),((C24*Datos!$B25)/(1+Datos!$C25)/$B$2)-1,IF(ISNUMBER($B$2),"-","INSERTAR COSTO"))</f>
        <v/>
      </c>
      <c r="E24" s="44">
        <f>IF(AND(ISNUMBER(Datos!F25),ISNUMBER($E$3),$E$3&gt;0),$E$3*(1-Datos!F25)/Datos!B25,"-")</f>
        <v/>
      </c>
      <c r="F24" s="8">
        <f>IF(AND(ISNUMBER(E24),ISNUMBER($B$2)),((E24*Datos!$B25)/(1+Datos!$C25)/$B$2)-1,IF(ISNUMBER($B$2),"-","INSERTAR COSTO"))</f>
        <v/>
      </c>
      <c r="G24" s="44">
        <f>IF(AND(ISNUMBER(Datos!G25),ISNUMBER($G$3),$G$3&gt;0),$G$3*(1-Datos!G25)/Datos!B25,"-")</f>
        <v/>
      </c>
      <c r="H24" s="8">
        <f>IF(AND(ISNUMBER(G24),ISNUMBER($B$2)),((G24*Datos!$B25)/(1+Datos!$C25)/$B$2)-1,IF(ISNUMBER($B$2),"-","INSERTAR COSTO"))</f>
        <v/>
      </c>
      <c r="I24" s="7">
        <f>IF(AND(ISNUMBER(Datos!H25),ISNUMBER($I$3),$I$3&gt;0),$I$3*(1-Datos!H25)/Datos!B25,"-")</f>
        <v/>
      </c>
      <c r="J24" s="8">
        <f>IF(AND(ISNUMBER(I24),ISNUMBER($B$2)),((I24*Datos!$B25)/(1+Datos!$C25)/$B$2)-1,IF(ISNUMBER($B$2),"-","INSERTAR COSTO"))</f>
        <v/>
      </c>
      <c r="K24" s="44">
        <f>IF(AND(ISNUMBER(Datos!I25),ISNUMBER($K$3),$K$3&gt;0),$K$3*(1-Datos!I25)/Datos!B25,"-")</f>
        <v/>
      </c>
      <c r="L24" s="8">
        <f>IF(AND(ISNUMBER(K24),ISNUMBER($B$2)),((K24*Datos!$B25)/(1+Datos!$C25)/$B$2)-1,IF(ISNUMBER($B$2),"-","INSERTAR COSTO"))</f>
        <v/>
      </c>
      <c r="M24" s="7">
        <f>IF(AND(ISNUMBER(Datos!L25),ISNUMBER($I$3),$I$3&gt;0),$I$3*(1-Datos!L25)/Datos!F25,"-")</f>
        <v/>
      </c>
      <c r="N24" s="73">
        <f>IF(AND(ISNUMBER(M24),ISNUMBER($B$2)),((M24*Datos!$B25)/(1+Datos!$C25)/$B$2)-1,IF(ISNUMBER($B$2),"-","INSERTAR COSTO"))</f>
        <v/>
      </c>
      <c r="O24" s="77">
        <f>IF(AND(ISNUMBER(Datos!D25),ISNUMBER($O$3),$O$3&gt;0),$O$3*(1+Datos!D25)/Datos!B25,"-")</f>
        <v/>
      </c>
      <c r="P24" s="76">
        <f>IF(AND(ISNUMBER(O24),ISNUMBER($B$2)),((O24*Datos!$B25)/(1+Datos!$C25)/$B$2)-1,IF(ISNUMBER($B$2),"-","INSERTAR COSTO"))</f>
        <v/>
      </c>
    </row>
    <row r="25" ht="14.5" customHeight="1">
      <c r="A25" s="17">
        <f>Datos!A26</f>
        <v/>
      </c>
      <c r="B25" s="18" t="inlineStr">
        <is>
          <t>Débito/Crédito</t>
        </is>
      </c>
      <c r="C25" s="44">
        <f>IF(AND(ISNUMBER(Datos!E26),ISNUMBER($C$3),$C$3&gt;0),$C$3*(1-Datos!E26)/Datos!B26,"-")</f>
        <v/>
      </c>
      <c r="D25" s="8">
        <f>IF(AND(ISNUMBER(C25),ISNUMBER($B$2)),((C25*Datos!$B26)/(1+Datos!$C26)/$B$2)-1,IF(ISNUMBER($B$2),"-","INSERTAR COSTO"))</f>
        <v/>
      </c>
      <c r="E25" s="44">
        <f>IF(AND(ISNUMBER(Datos!F26),ISNUMBER($E$3),$E$3&gt;0),$E$3*(1-Datos!F26)/Datos!B26,"-")</f>
        <v/>
      </c>
      <c r="F25" s="8">
        <f>IF(AND(ISNUMBER(E25),ISNUMBER($B$2)),((E25*Datos!$B26)/(1+Datos!$C26)/$B$2)-1,IF(ISNUMBER($B$2),"-","INSERTAR COSTO"))</f>
        <v/>
      </c>
      <c r="G25" s="44">
        <f>IF(AND(ISNUMBER(Datos!G26),ISNUMBER($G$3),$G$3&gt;0),$G$3*(1-Datos!G26)/Datos!B26,"-")</f>
        <v/>
      </c>
      <c r="H25" s="8">
        <f>IF(AND(ISNUMBER(G25),ISNUMBER($B$2)),((G25*Datos!$B26)/(1+Datos!$C26)/$B$2)-1,IF(ISNUMBER($B$2),"-","INSERTAR COSTO"))</f>
        <v/>
      </c>
      <c r="I25" s="7">
        <f>IF(AND(ISNUMBER(Datos!H26),ISNUMBER($I$3),$I$3&gt;0),$I$3*(1-Datos!H26)/Datos!B26,"-")</f>
        <v/>
      </c>
      <c r="J25" s="8">
        <f>IF(AND(ISNUMBER(I25),ISNUMBER($B$2)),((I25*Datos!$B26)/(1+Datos!$C26)/$B$2)-1,IF(ISNUMBER($B$2),"-","INSERTAR COSTO"))</f>
        <v/>
      </c>
      <c r="K25" s="44">
        <f>IF(AND(ISNUMBER(Datos!I26),ISNUMBER($K$3),$K$3&gt;0),$K$3*(1-Datos!I26)/Datos!B26,"-")</f>
        <v/>
      </c>
      <c r="L25" s="8">
        <f>IF(AND(ISNUMBER(K25),ISNUMBER($B$2)),((K25*Datos!$B26)/(1+Datos!$C26)/$B$2)-1,IF(ISNUMBER($B$2),"-","INSERTAR COSTO"))</f>
        <v/>
      </c>
      <c r="M25" s="7">
        <f>IF(AND(ISNUMBER(Datos!L26),ISNUMBER($I$3),$I$3&gt;0),$I$3*(1-Datos!L26)/Datos!F26,"-")</f>
        <v/>
      </c>
      <c r="N25" s="73">
        <f>IF(AND(ISNUMBER(M25),ISNUMBER($B$2)),((M25*Datos!$B26)/(1+Datos!$C26)/$B$2)-1,IF(ISNUMBER($B$2),"-","INSERTAR COSTO"))</f>
        <v/>
      </c>
      <c r="O25" s="77">
        <f>IF(AND(ISNUMBER(Datos!D26),ISNUMBER($O$3),$O$3&gt;0),$O$3*(1+Datos!D26)/Datos!B26,"-")</f>
        <v/>
      </c>
      <c r="P25" s="76">
        <f>IF(AND(ISNUMBER(O25),ISNUMBER($B$2)),((O25*Datos!$B26)/(1+Datos!$C26)/$B$2)-1,IF(ISNUMBER($B$2),"-","INSERTAR COSTO"))</f>
        <v/>
      </c>
    </row>
    <row r="26" ht="14.5" customHeight="1">
      <c r="A26" s="17">
        <f>Datos!A27</f>
        <v/>
      </c>
      <c r="B26" s="18" t="inlineStr">
        <is>
          <t>Plan Z</t>
        </is>
      </c>
      <c r="C26" s="44">
        <f>IF(AND(ISNUMBER(Datos!E27),ISNUMBER($C$3),$C$3&gt;0),$C$3*(1-Datos!E27)/Datos!B27,"-")</f>
        <v/>
      </c>
      <c r="D26" s="8">
        <f>IF(AND(ISNUMBER(C26),ISNUMBER($B$2)),((C26*Datos!$B27)/(1+Datos!$C27)/$B$2)-1,IF(ISNUMBER($B$2),"-","INSERTAR COSTO"))</f>
        <v/>
      </c>
      <c r="E26" s="44">
        <f>IF(AND(ISNUMBER(Datos!F27),ISNUMBER($E$3),$E$3&gt;0),$E$3*(1-Datos!F27)/Datos!B27,"-")</f>
        <v/>
      </c>
      <c r="F26" s="8">
        <f>IF(AND(ISNUMBER(E26),ISNUMBER($B$2)),((E26*Datos!$B27)/(1+Datos!$C27)/$B$2)-1,IF(ISNUMBER($B$2),"-","INSERTAR COSTO"))</f>
        <v/>
      </c>
      <c r="G26" s="44">
        <f>IF(AND(ISNUMBER(Datos!G27),ISNUMBER($G$3),$G$3&gt;0),$G$3*(1-Datos!G27)/Datos!B27,"-")</f>
        <v/>
      </c>
      <c r="H26" s="8">
        <f>IF(AND(ISNUMBER(G26),ISNUMBER($B$2)),((G26*Datos!$B27)/(1+Datos!$C27)/$B$2)-1,IF(ISNUMBER($B$2),"-","INSERTAR COSTO"))</f>
        <v/>
      </c>
      <c r="I26" s="7">
        <f>IF(AND(ISNUMBER(Datos!H27),ISNUMBER($I$3),$I$3&gt;0),$I$3*(1-Datos!H27)/Datos!B27,"-")</f>
        <v/>
      </c>
      <c r="J26" s="8">
        <f>IF(AND(ISNUMBER(I26),ISNUMBER($B$2)),((I26*Datos!$B27)/(1+Datos!$C27)/$B$2)-1,IF(ISNUMBER($B$2),"-","INSERTAR COSTO"))</f>
        <v/>
      </c>
      <c r="K26" s="44">
        <f>IF(AND(ISNUMBER(Datos!I27),ISNUMBER($K$3),$K$3&gt;0),$K$3*(1-Datos!I27)/Datos!B27,"-")</f>
        <v/>
      </c>
      <c r="L26" s="8">
        <f>IF(AND(ISNUMBER(K26),ISNUMBER($B$2)),((K26*Datos!$B27)/(1+Datos!$C27)/$B$2)-1,IF(ISNUMBER($B$2),"-","INSERTAR COSTO"))</f>
        <v/>
      </c>
      <c r="M26" s="7">
        <f>IF(AND(ISNUMBER(Datos!L27),ISNUMBER($I$3),$I$3&gt;0),$I$3*(1-Datos!L27)/Datos!F27,"-")</f>
        <v/>
      </c>
      <c r="N26" s="73">
        <f>IF(AND(ISNUMBER(M26),ISNUMBER($B$2)),((M26*Datos!$B27)/(1+Datos!$C27)/$B$2)-1,IF(ISNUMBER($B$2),"-","INSERTAR COSTO"))</f>
        <v/>
      </c>
      <c r="O26" s="77">
        <f>IF(AND(ISNUMBER(Datos!D27),ISNUMBER($O$3),$O$3&gt;0),$O$3*(1+Datos!D27)/Datos!B27,"-")</f>
        <v/>
      </c>
      <c r="P26" s="76">
        <f>IF(AND(ISNUMBER(O26),ISNUMBER($B$2)),((O26*Datos!$B27)/(1+Datos!$C27)/$B$2)-1,IF(ISNUMBER($B$2),"-","INSERTAR COSTO"))</f>
        <v/>
      </c>
    </row>
    <row r="27" ht="14.5" customHeight="1">
      <c r="A27" s="17">
        <f>Datos!A28</f>
        <v/>
      </c>
      <c r="B27" s="18" t="inlineStr">
        <is>
          <t>Naranja 6 s/i</t>
        </is>
      </c>
      <c r="C27" s="44">
        <f>IF(AND(ISNUMBER(Datos!E28),ISNUMBER($C$3),$C$3&gt;0),$C$3*(1-Datos!E28)/Datos!B28,"-")</f>
        <v/>
      </c>
      <c r="D27" s="8">
        <f>IF(AND(ISNUMBER(C27),ISNUMBER($B$2)),((C27*Datos!$B28)/(1+Datos!$C28)/$B$2)-1,IF(ISNUMBER($B$2),"-","INSERTAR COSTO"))</f>
        <v/>
      </c>
      <c r="E27" s="44">
        <f>IF(AND(ISNUMBER(Datos!F28),ISNUMBER($E$3),$E$3&gt;0),$E$3*(1-Datos!F28)/Datos!B28,"-")</f>
        <v/>
      </c>
      <c r="F27" s="8">
        <f>IF(AND(ISNUMBER(E27),ISNUMBER($B$2)),((E27*Datos!$B28)/(1+Datos!$C28)/$B$2)-1,IF(ISNUMBER($B$2),"-","INSERTAR COSTO"))</f>
        <v/>
      </c>
      <c r="G27" s="44">
        <f>IF(AND(ISNUMBER(Datos!G28),ISNUMBER($G$3),$G$3&gt;0),$G$3*(1-Datos!G28)/Datos!B28,"-")</f>
        <v/>
      </c>
      <c r="H27" s="8">
        <f>IF(AND(ISNUMBER(G27),ISNUMBER($B$2)),((G27*Datos!$B28)/(1+Datos!$C28)/$B$2)-1,IF(ISNUMBER($B$2),"-","INSERTAR COSTO"))</f>
        <v/>
      </c>
      <c r="I27" s="7">
        <f>IF(AND(ISNUMBER(Datos!H28),ISNUMBER($I$3),$I$3&gt;0),$I$3*(1-Datos!H28)/Datos!B28,"-")</f>
        <v/>
      </c>
      <c r="J27" s="8">
        <f>IF(AND(ISNUMBER(I27),ISNUMBER($B$2)),((I27*Datos!$B28)/(1+Datos!$C28)/$B$2)-1,IF(ISNUMBER($B$2),"-","INSERTAR COSTO"))</f>
        <v/>
      </c>
      <c r="K27" s="44">
        <f>IF(AND(ISNUMBER(Datos!I28),ISNUMBER($K$3),$K$3&gt;0),$K$3*(1-Datos!I28)/Datos!B28,"-")</f>
        <v/>
      </c>
      <c r="L27" s="8">
        <f>IF(AND(ISNUMBER(K27),ISNUMBER($B$2)),((K27*Datos!$B28)/(1+Datos!$C28)/$B$2)-1,IF(ISNUMBER($B$2),"-","INSERTAR COSTO"))</f>
        <v/>
      </c>
      <c r="M27" s="7">
        <f>IF(AND(ISNUMBER(Datos!L28),ISNUMBER($I$3),$I$3&gt;0),$I$3*(1-Datos!L28)/Datos!F28,"-")</f>
        <v/>
      </c>
      <c r="N27" s="73">
        <f>IF(AND(ISNUMBER(M27),ISNUMBER($B$2)),((M27*Datos!$B28)/(1+Datos!$C28)/$B$2)-1,IF(ISNUMBER($B$2),"-","INSERTAR COSTO"))</f>
        <v/>
      </c>
      <c r="O27" s="77">
        <f>IF(AND(ISNUMBER(Datos!D28),ISNUMBER($O$3),$O$3&gt;0),$O$3*(1+Datos!D28)/Datos!B28,"-")</f>
        <v/>
      </c>
      <c r="P27" s="76">
        <f>IF(AND(ISNUMBER(O27),ISNUMBER($B$2)),((O27*Datos!$B28)/(1+Datos!$C28)/$B$2)-1,IF(ISNUMBER($B$2),"-","INSERTAR COSTO"))</f>
        <v/>
      </c>
    </row>
    <row r="28" ht="14.5" customHeight="1">
      <c r="A28" s="17">
        <f>Datos!A29</f>
        <v/>
      </c>
      <c r="B28" s="18" t="inlineStr">
        <is>
          <t>Naranja 9 s/i</t>
        </is>
      </c>
      <c r="C28" s="44">
        <f>IF(AND(ISNUMBER(Datos!E29),ISNUMBER($C$3),$C$3&gt;0),$C$3*(1-Datos!E29)/Datos!B29,"-")</f>
        <v/>
      </c>
      <c r="D28" s="8">
        <f>IF(AND(ISNUMBER(C28),ISNUMBER($B$2)),((C28*Datos!$B29)/(1+Datos!$C29)/$B$2)-1,IF(ISNUMBER($B$2),"-","INSERTAR COSTO"))</f>
        <v/>
      </c>
      <c r="E28" s="44">
        <f>IF(AND(ISNUMBER(Datos!F29),ISNUMBER($E$3),$E$3&gt;0),$E$3*(1-Datos!F29)/Datos!B29,"-")</f>
        <v/>
      </c>
      <c r="F28" s="8">
        <f>IF(AND(ISNUMBER(E28),ISNUMBER($B$2)),((E28*Datos!$B29)/(1+Datos!$C29)/$B$2)-1,IF(ISNUMBER($B$2),"-","INSERTAR COSTO"))</f>
        <v/>
      </c>
      <c r="G28" s="44">
        <f>IF(AND(ISNUMBER(Datos!G29),ISNUMBER($G$3),$G$3&gt;0),$G$3*(1-Datos!G29)/Datos!B29,"-")</f>
        <v/>
      </c>
      <c r="H28" s="8">
        <f>IF(AND(ISNUMBER(G28),ISNUMBER($B$2)),((G28*Datos!$B29)/(1+Datos!$C29)/$B$2)-1,IF(ISNUMBER($B$2),"-","INSERTAR COSTO"))</f>
        <v/>
      </c>
      <c r="I28" s="7">
        <f>IF(AND(ISNUMBER(Datos!H29),ISNUMBER($I$3),$I$3&gt;0),$I$3*(1-Datos!H29)/Datos!B29,"-")</f>
        <v/>
      </c>
      <c r="J28" s="8">
        <f>IF(AND(ISNUMBER(I28),ISNUMBER($B$2)),((I28*Datos!$B29)/(1+Datos!$C29)/$B$2)-1,IF(ISNUMBER($B$2),"-","INSERTAR COSTO"))</f>
        <v/>
      </c>
      <c r="K28" s="44">
        <f>IF(AND(ISNUMBER(Datos!I29),ISNUMBER($K$3),$K$3&gt;0),$K$3*(1-Datos!I29)/Datos!B29,"-")</f>
        <v/>
      </c>
      <c r="L28" s="8">
        <f>IF(AND(ISNUMBER(K28),ISNUMBER($B$2)),((K28*Datos!$B29)/(1+Datos!$C29)/$B$2)-1,IF(ISNUMBER($B$2),"-","INSERTAR COSTO"))</f>
        <v/>
      </c>
      <c r="M28" s="7">
        <f>IF(AND(ISNUMBER(Datos!L29),ISNUMBER($I$3),$I$3&gt;0),$I$3*(1-Datos!L29)/Datos!F29,"-")</f>
        <v/>
      </c>
      <c r="N28" s="73">
        <f>IF(AND(ISNUMBER(M28),ISNUMBER($B$2)),((M28*Datos!$B29)/(1+Datos!$C29)/$B$2)-1,IF(ISNUMBER($B$2),"-","INSERTAR COSTO"))</f>
        <v/>
      </c>
      <c r="O28" s="77">
        <f>IF(AND(ISNUMBER(Datos!D29),ISNUMBER($O$3),$O$3&gt;0),$O$3*(1+Datos!D29)/Datos!B29,"-")</f>
        <v/>
      </c>
      <c r="P28" s="76">
        <f>IF(AND(ISNUMBER(O28),ISNUMBER($B$2)),((O28*Datos!$B29)/(1+Datos!$C29)/$B$2)-1,IF(ISNUMBER($B$2),"-","INSERTAR COSTO"))</f>
        <v/>
      </c>
    </row>
    <row r="29" ht="14.5" customHeight="1">
      <c r="A29" s="17">
        <f>Datos!A30</f>
        <v/>
      </c>
      <c r="B29" s="18" t="inlineStr">
        <is>
          <t>Naranja 9 c/i</t>
        </is>
      </c>
      <c r="C29" s="44">
        <f>IF(AND(ISNUMBER(Datos!E30),ISNUMBER($C$3),$C$3&gt;0),$C$3*(1-Datos!E30)/Datos!B30,"-")</f>
        <v/>
      </c>
      <c r="D29" s="8">
        <f>IF(AND(ISNUMBER(C29),ISNUMBER($B$2)),((C29*Datos!$B30)/(1+Datos!$C30)/$B$2)-1,IF(ISNUMBER($B$2),"-","INSERTAR COSTO"))</f>
        <v/>
      </c>
      <c r="E29" s="44">
        <f>IF(AND(ISNUMBER(Datos!F30),ISNUMBER($E$3),$E$3&gt;0),$E$3*(1-Datos!F30)/Datos!B30,"-")</f>
        <v/>
      </c>
      <c r="F29" s="8">
        <f>IF(AND(ISNUMBER(E29),ISNUMBER($B$2)),((E29*Datos!$B30)/(1+Datos!$C30)/$B$2)-1,IF(ISNUMBER($B$2),"-","INSERTAR COSTO"))</f>
        <v/>
      </c>
      <c r="G29" s="44">
        <f>IF(AND(ISNUMBER(Datos!G30),ISNUMBER($G$3),$G$3&gt;0),$G$3*(1-Datos!G30)/Datos!B30,"-")</f>
        <v/>
      </c>
      <c r="H29" s="8">
        <f>IF(AND(ISNUMBER(G29),ISNUMBER($B$2)),((G29*Datos!$B30)/(1+Datos!$C30)/$B$2)-1,IF(ISNUMBER($B$2),"-","INSERTAR COSTO"))</f>
        <v/>
      </c>
      <c r="I29" s="7">
        <f>IF(AND(ISNUMBER(Datos!H30),ISNUMBER($I$3),$I$3&gt;0),$I$3*(1-Datos!H30)/Datos!B30,"-")</f>
        <v/>
      </c>
      <c r="J29" s="8">
        <f>IF(AND(ISNUMBER(I29),ISNUMBER($B$2)),((I29*Datos!$B30)/(1+Datos!$C30)/$B$2)-1,IF(ISNUMBER($B$2),"-","INSERTAR COSTO"))</f>
        <v/>
      </c>
      <c r="K29" s="44">
        <f>IF(AND(ISNUMBER(Datos!I30),ISNUMBER($K$3),$K$3&gt;0),$K$3*(1-Datos!I30)/Datos!B30,"-")</f>
        <v/>
      </c>
      <c r="L29" s="8">
        <f>IF(AND(ISNUMBER(K29),ISNUMBER($B$2)),((K29*Datos!$B30)/(1+Datos!$C30)/$B$2)-1,IF(ISNUMBER($B$2),"-","INSERTAR COSTO"))</f>
        <v/>
      </c>
      <c r="M29" s="7">
        <f>IF(AND(ISNUMBER(Datos!L30),ISNUMBER($I$3),$I$3&gt;0),$I$3*(1-Datos!L30)/Datos!F30,"-")</f>
        <v/>
      </c>
      <c r="N29" s="73">
        <f>IF(AND(ISNUMBER(M29),ISNUMBER($B$2)),((M29*Datos!$B30)/(1+Datos!$C30)/$B$2)-1,IF(ISNUMBER($B$2),"-","INSERTAR COSTO"))</f>
        <v/>
      </c>
      <c r="O29" s="77">
        <f>IF(AND(ISNUMBER(Datos!D30),ISNUMBER($O$3),$O$3&gt;0),$O$3*(1+Datos!D30)/Datos!B30,"-")</f>
        <v/>
      </c>
      <c r="P29" s="76">
        <f>IF(AND(ISNUMBER(O29),ISNUMBER($B$2)),((O29*Datos!$B30)/(1+Datos!$C30)/$B$2)-1,IF(ISNUMBER($B$2),"-","INSERTAR COSTO"))</f>
        <v/>
      </c>
    </row>
    <row r="30" ht="14.5" customHeight="1">
      <c r="A30" s="17">
        <f>Datos!A31</f>
        <v/>
      </c>
      <c r="B30" s="18" t="inlineStr">
        <is>
          <t>Naranja 10 s/i</t>
        </is>
      </c>
      <c r="C30" s="44">
        <f>IF(AND(ISNUMBER(Datos!E31),ISNUMBER($C$3),$C$3&gt;0),$C$3*(1-Datos!E31)/Datos!B31,"-")</f>
        <v/>
      </c>
      <c r="D30" s="8">
        <f>IF(AND(ISNUMBER(C30),ISNUMBER($B$2)),((C30*Datos!$B31)/(1+Datos!$C31)/$B$2)-1,IF(ISNUMBER($B$2),"-","INSERTAR COSTO"))</f>
        <v/>
      </c>
      <c r="E30" s="44">
        <f>IF(AND(ISNUMBER(Datos!F31),ISNUMBER($E$3),$E$3&gt;0),$E$3*(1-Datos!F31)/Datos!B31,"-")</f>
        <v/>
      </c>
      <c r="F30" s="8">
        <f>IF(AND(ISNUMBER(E30),ISNUMBER($B$2)),((E30*Datos!$B31)/(1+Datos!$C31)/$B$2)-1,IF(ISNUMBER($B$2),"-","INSERTAR COSTO"))</f>
        <v/>
      </c>
      <c r="G30" s="44">
        <f>IF(AND(ISNUMBER(Datos!G31),ISNUMBER($G$3),$G$3&gt;0),$G$3*(1-Datos!G31)/Datos!B31,"-")</f>
        <v/>
      </c>
      <c r="H30" s="8">
        <f>IF(AND(ISNUMBER(G30),ISNUMBER($B$2)),((G30*Datos!$B31)/(1+Datos!$C31)/$B$2)-1,IF(ISNUMBER($B$2),"-","INSERTAR COSTO"))</f>
        <v/>
      </c>
      <c r="I30" s="7">
        <f>IF(AND(ISNUMBER(Datos!H31),ISNUMBER($I$3),$I$3&gt;0),$I$3*(1-Datos!H31)/Datos!B31,"-")</f>
        <v/>
      </c>
      <c r="J30" s="8">
        <f>IF(AND(ISNUMBER(I30),ISNUMBER($B$2)),((I30*Datos!$B31)/(1+Datos!$C31)/$B$2)-1,IF(ISNUMBER($B$2),"-","INSERTAR COSTO"))</f>
        <v/>
      </c>
      <c r="K30" s="44">
        <f>IF(AND(ISNUMBER(Datos!I31),ISNUMBER($K$3),$K$3&gt;0),$K$3*(1-Datos!I31)/Datos!B31,"-")</f>
        <v/>
      </c>
      <c r="L30" s="8">
        <f>IF(AND(ISNUMBER(K30),ISNUMBER($B$2)),((K30*Datos!$B31)/(1+Datos!$C31)/$B$2)-1,IF(ISNUMBER($B$2),"-","INSERTAR COSTO"))</f>
        <v/>
      </c>
      <c r="M30" s="7">
        <f>IF(AND(ISNUMBER(Datos!L31),ISNUMBER($I$3),$I$3&gt;0),$I$3*(1-Datos!L31)/Datos!F31,"-")</f>
        <v/>
      </c>
      <c r="N30" s="73">
        <f>IF(AND(ISNUMBER(M30),ISNUMBER($B$2)),((M30*Datos!$B31)/(1+Datos!$C31)/$B$2)-1,IF(ISNUMBER($B$2),"-","INSERTAR COSTO"))</f>
        <v/>
      </c>
      <c r="O30" s="77">
        <f>IF(AND(ISNUMBER(Datos!D31),ISNUMBER($O$3),$O$3&gt;0),$O$3*(1+Datos!D31)/Datos!B31,"-")</f>
        <v/>
      </c>
      <c r="P30" s="76">
        <f>IF(AND(ISNUMBER(O30),ISNUMBER($B$2)),((O30*Datos!$B31)/(1+Datos!$C31)/$B$2)-1,IF(ISNUMBER($B$2),"-","INSERTAR COSTO"))</f>
        <v/>
      </c>
    </row>
    <row r="31" ht="14.5" customHeight="1">
      <c r="A31" s="17">
        <f>Datos!A32</f>
        <v/>
      </c>
      <c r="B31" s="18" t="inlineStr">
        <is>
          <t>Naranja 10 c/i</t>
        </is>
      </c>
      <c r="C31" s="44">
        <f>IF(AND(ISNUMBER(Datos!E32),ISNUMBER($C$3),$C$3&gt;0),$C$3*(1-Datos!E32)/Datos!B32,"-")</f>
        <v/>
      </c>
      <c r="D31" s="8">
        <f>IF(AND(ISNUMBER(C31),ISNUMBER($B$2)),((C31*Datos!$B32)/(1+Datos!$C32)/$B$2)-1,IF(ISNUMBER($B$2),"-","INSERTAR COSTO"))</f>
        <v/>
      </c>
      <c r="E31" s="44">
        <f>IF(AND(ISNUMBER(Datos!F32),ISNUMBER($E$3),$E$3&gt;0),$E$3*(1-Datos!F32)/Datos!B32,"-")</f>
        <v/>
      </c>
      <c r="F31" s="8">
        <f>IF(AND(ISNUMBER(E31),ISNUMBER($B$2)),((E31*Datos!$B32)/(1+Datos!$C32)/$B$2)-1,IF(ISNUMBER($B$2),"-","INSERTAR COSTO"))</f>
        <v/>
      </c>
      <c r="G31" s="44">
        <f>IF(AND(ISNUMBER(Datos!G32),ISNUMBER($G$3),$G$3&gt;0),$G$3*(1-Datos!G32)/Datos!B32,"-")</f>
        <v/>
      </c>
      <c r="H31" s="8">
        <f>IF(AND(ISNUMBER(G31),ISNUMBER($B$2)),((G31*Datos!$B32)/(1+Datos!$C32)/$B$2)-1,IF(ISNUMBER($B$2),"-","INSERTAR COSTO"))</f>
        <v/>
      </c>
      <c r="I31" s="7">
        <f>IF(AND(ISNUMBER(Datos!H32),ISNUMBER($I$3),$I$3&gt;0),$I$3*(1-Datos!H32)/Datos!B32,"-")</f>
        <v/>
      </c>
      <c r="J31" s="8">
        <f>IF(AND(ISNUMBER(I31),ISNUMBER($B$2)),((I31*Datos!$B32)/(1+Datos!$C32)/$B$2)-1,IF(ISNUMBER($B$2),"-","INSERTAR COSTO"))</f>
        <v/>
      </c>
      <c r="K31" s="44">
        <f>IF(AND(ISNUMBER(Datos!I32),ISNUMBER($K$3),$K$3&gt;0),$K$3*(1-Datos!I32)/Datos!B32,"-")</f>
        <v/>
      </c>
      <c r="L31" s="8">
        <f>IF(AND(ISNUMBER(K31),ISNUMBER($B$2)),((K31*Datos!$B32)/(1+Datos!$C32)/$B$2)-1,IF(ISNUMBER($B$2),"-","INSERTAR COSTO"))</f>
        <v/>
      </c>
      <c r="M31" s="7">
        <f>IF(AND(ISNUMBER(Datos!L32),ISNUMBER($I$3),$I$3&gt;0),$I$3*(1-Datos!L32)/Datos!F32,"-")</f>
        <v/>
      </c>
      <c r="N31" s="73">
        <f>IF(AND(ISNUMBER(M31),ISNUMBER($B$2)),((M31*Datos!$B32)/(1+Datos!$C32)/$B$2)-1,IF(ISNUMBER($B$2),"-","INSERTAR COSTO"))</f>
        <v/>
      </c>
      <c r="O31" s="77">
        <f>IF(AND(ISNUMBER(Datos!D32),ISNUMBER($O$3),$O$3&gt;0),$O$3*(1+Datos!D32)/Datos!B32,"-")</f>
        <v/>
      </c>
      <c r="P31" s="76">
        <f>IF(AND(ISNUMBER(O31),ISNUMBER($B$2)),((O31*Datos!$B32)/(1+Datos!$C32)/$B$2)-1,IF(ISNUMBER($B$2),"-","INSERTAR COSTO"))</f>
        <v/>
      </c>
    </row>
    <row r="32" ht="14.5" customHeight="1">
      <c r="A32" s="17">
        <f>Datos!A33</f>
        <v/>
      </c>
      <c r="B32" s="19" t="inlineStr">
        <is>
          <t>Naranja 12 s/i</t>
        </is>
      </c>
      <c r="C32" s="44">
        <f>IF(AND(ISNUMBER(Datos!E33),ISNUMBER($C$3),$C$3&gt;0),$C$3*(1-Datos!E33)/Datos!B33,"-")</f>
        <v/>
      </c>
      <c r="D32" s="8">
        <f>IF(AND(ISNUMBER(C32),ISNUMBER($B$2)),((C32*Datos!$B33)/(1+Datos!$C33)/$B$2)-1,IF(ISNUMBER($B$2),"-","INSERTAR COSTO"))</f>
        <v/>
      </c>
      <c r="E32" s="44">
        <f>IF(AND(ISNUMBER(Datos!F33),ISNUMBER($E$3),$E$3&gt;0),$E$3*(1-Datos!F33)/Datos!B33,"-")</f>
        <v/>
      </c>
      <c r="F32" s="8">
        <f>IF(AND(ISNUMBER(E32),ISNUMBER($B$2)),((E32*Datos!$B33)/(1+Datos!$C33)/$B$2)-1,IF(ISNUMBER($B$2),"-","INSERTAR COSTO"))</f>
        <v/>
      </c>
      <c r="G32" s="44">
        <f>IF(AND(ISNUMBER(Datos!G33),ISNUMBER($G$3),$G$3&gt;0),$G$3*(1-Datos!G33)/Datos!B33,"-")</f>
        <v/>
      </c>
      <c r="H32" s="8">
        <f>IF(AND(ISNUMBER(G32),ISNUMBER($B$2)),((G32*Datos!$B33)/(1+Datos!$C33)/$B$2)-1,IF(ISNUMBER($B$2),"-","INSERTAR COSTO"))</f>
        <v/>
      </c>
      <c r="I32" s="7">
        <f>IF(AND(ISNUMBER(Datos!H33),ISNUMBER($I$3),$I$3&gt;0),$I$3*(1-Datos!H33)/Datos!B33,"-")</f>
        <v/>
      </c>
      <c r="J32" s="8">
        <f>IF(AND(ISNUMBER(I32),ISNUMBER($B$2)),((I32*Datos!$B33)/(1+Datos!$C33)/$B$2)-1,IF(ISNUMBER($B$2),"-","INSERTAR COSTO"))</f>
        <v/>
      </c>
      <c r="K32" s="44">
        <f>IF(AND(ISNUMBER(Datos!I33),ISNUMBER($K$3),$K$3&gt;0),$K$3*(1-Datos!I33)/Datos!B33,"-")</f>
        <v/>
      </c>
      <c r="L32" s="8">
        <f>IF(AND(ISNUMBER(K32),ISNUMBER($B$2)),((K32*Datos!$B33)/(1+Datos!$C33)/$B$2)-1,IF(ISNUMBER($B$2),"-","INSERTAR COSTO"))</f>
        <v/>
      </c>
      <c r="M32" s="7">
        <f>IF(AND(ISNUMBER(Datos!L33),ISNUMBER($I$3),$I$3&gt;0),$I$3*(1-Datos!L33)/Datos!F33,"-")</f>
        <v/>
      </c>
      <c r="N32" s="73">
        <f>IF(AND(ISNUMBER(M32),ISNUMBER($B$2)),((M32*Datos!$B33)/(1+Datos!$C33)/$B$2)-1,IF(ISNUMBER($B$2),"-","INSERTAR COSTO"))</f>
        <v/>
      </c>
      <c r="O32" s="77">
        <f>IF(AND(ISNUMBER(Datos!D33),ISNUMBER($O$3),$O$3&gt;0),$O$3*(1+Datos!D33)/Datos!B33,"-")</f>
        <v/>
      </c>
      <c r="P32" s="76">
        <f>IF(AND(ISNUMBER(O32),ISNUMBER($B$2)),((O32*Datos!$B33)/(1+Datos!$C33)/$B$2)-1,IF(ISNUMBER($B$2),"-","INSERTAR COSTO"))</f>
        <v/>
      </c>
    </row>
    <row r="33" ht="14.5" customHeight="1">
      <c r="A33" s="17">
        <f>Datos!A34</f>
        <v/>
      </c>
      <c r="B33" s="19" t="inlineStr">
        <is>
          <t>Naranja 12 c/i</t>
        </is>
      </c>
      <c r="C33" s="44">
        <f>IF(AND(ISNUMBER(Datos!E34),ISNUMBER($C$3),$C$3&gt;0),$C$3*(1-Datos!E34)/Datos!B34,"-")</f>
        <v/>
      </c>
      <c r="D33" s="8">
        <f>IF(AND(ISNUMBER(C33),ISNUMBER($B$2)),((C33*Datos!$B34)/(1+Datos!$C34)/$B$2)-1,IF(ISNUMBER($B$2),"-","INSERTAR COSTO"))</f>
        <v/>
      </c>
      <c r="E33" s="44">
        <f>IF(AND(ISNUMBER(Datos!F34),ISNUMBER($E$3),$E$3&gt;0),$E$3*(1-Datos!F34)/Datos!B34,"-")</f>
        <v/>
      </c>
      <c r="F33" s="8">
        <f>IF(AND(ISNUMBER(E33),ISNUMBER($B$2)),((E33*Datos!$B34)/(1+Datos!$C34)/$B$2)-1,IF(ISNUMBER($B$2),"-","INSERTAR COSTO"))</f>
        <v/>
      </c>
      <c r="G33" s="44">
        <f>IF(AND(ISNUMBER(Datos!G34),ISNUMBER($G$3),$G$3&gt;0),$G$3*(1-Datos!G34)/Datos!B34,"-")</f>
        <v/>
      </c>
      <c r="H33" s="8">
        <f>IF(AND(ISNUMBER(G33),ISNUMBER($B$2)),((G33*Datos!$B34)/(1+Datos!$C34)/$B$2)-1,IF(ISNUMBER($B$2),"-","INSERTAR COSTO"))</f>
        <v/>
      </c>
      <c r="I33" s="7">
        <f>IF(AND(ISNUMBER(Datos!H34),ISNUMBER($I$3),$I$3&gt;0),$I$3*(1-Datos!H34)/Datos!B34,"-")</f>
        <v/>
      </c>
      <c r="J33" s="8">
        <f>IF(AND(ISNUMBER(I33),ISNUMBER($B$2)),((I33*Datos!$B34)/(1+Datos!$C34)/$B$2)-1,IF(ISNUMBER($B$2),"-","INSERTAR COSTO"))</f>
        <v/>
      </c>
      <c r="K33" s="44">
        <f>IF(AND(ISNUMBER(Datos!I34),ISNUMBER($K$3),$K$3&gt;0),$K$3*(1-Datos!I34)/Datos!B34,"-")</f>
        <v/>
      </c>
      <c r="L33" s="8">
        <f>IF(AND(ISNUMBER(K33),ISNUMBER($B$2)),((K33*Datos!$B34)/(1+Datos!$C34)/$B$2)-1,IF(ISNUMBER($B$2),"-","INSERTAR COSTO"))</f>
        <v/>
      </c>
      <c r="M33" s="7">
        <f>IF(AND(ISNUMBER(Datos!L34),ISNUMBER($I$3),$I$3&gt;0),$I$3*(1-Datos!L34)/Datos!F34,"-")</f>
        <v/>
      </c>
      <c r="N33" s="73">
        <f>IF(AND(ISNUMBER(M33),ISNUMBER($B$2)),((M33*Datos!$B34)/(1+Datos!$C34)/$B$2)-1,IF(ISNUMBER($B$2),"-","INSERTAR COSTO"))</f>
        <v/>
      </c>
      <c r="O33" s="77">
        <f>IF(AND(ISNUMBER(Datos!D34),ISNUMBER($O$3),$O$3&gt;0),$O$3*(1+Datos!D34)/Datos!B34,"-")</f>
        <v/>
      </c>
      <c r="P33" s="76">
        <f>IF(AND(ISNUMBER(O33),ISNUMBER($B$2)),((O33*Datos!$B34)/(1+Datos!$C34)/$B$2)-1,IF(ISNUMBER($B$2),"-","INSERTAR COSTO"))</f>
        <v/>
      </c>
    </row>
    <row r="34" ht="14.5" customHeight="1">
      <c r="A34" s="17">
        <f>Datos!A35</f>
        <v/>
      </c>
      <c r="B34" s="19" t="inlineStr">
        <is>
          <t>Naranja 15 s/i</t>
        </is>
      </c>
      <c r="C34" s="44">
        <f>IF(AND(ISNUMBER(Datos!E35),ISNUMBER($C$3),$C$3&gt;0),$C$3*(1-Datos!E35)/Datos!B35,"-")</f>
        <v/>
      </c>
      <c r="D34" s="8">
        <f>IF(AND(ISNUMBER(C34),ISNUMBER($B$2)),((C34*Datos!$B35)/(1+Datos!$C35)/$B$2)-1,IF(ISNUMBER($B$2),"-","INSERTAR COSTO"))</f>
        <v/>
      </c>
      <c r="E34" s="44">
        <f>IF(AND(ISNUMBER(Datos!F35),ISNUMBER($E$3),$E$3&gt;0),$E$3*(1-Datos!F35)/Datos!B35,"-")</f>
        <v/>
      </c>
      <c r="F34" s="8">
        <f>IF(AND(ISNUMBER(E34),ISNUMBER($B$2)),((E34*Datos!$B35)/(1+Datos!$C35)/$B$2)-1,IF(ISNUMBER($B$2),"-","INSERTAR COSTO"))</f>
        <v/>
      </c>
      <c r="G34" s="44">
        <f>IF(AND(ISNUMBER(Datos!G35),ISNUMBER($G$3),$G$3&gt;0),$G$3*(1-Datos!G35)/Datos!B35,"-")</f>
        <v/>
      </c>
      <c r="H34" s="8">
        <f>IF(AND(ISNUMBER(G34),ISNUMBER($B$2)),((G34*Datos!$B35)/(1+Datos!$C35)/$B$2)-1,IF(ISNUMBER($B$2),"-","INSERTAR COSTO"))</f>
        <v/>
      </c>
      <c r="I34" s="7">
        <f>IF(AND(ISNUMBER(Datos!H35),ISNUMBER($I$3),$I$3&gt;0),$I$3*(1-Datos!H35)/Datos!B35,"-")</f>
        <v/>
      </c>
      <c r="J34" s="8">
        <f>IF(AND(ISNUMBER(I34),ISNUMBER($B$2)),((I34*Datos!$B35)/(1+Datos!$C35)/$B$2)-1,IF(ISNUMBER($B$2),"-","INSERTAR COSTO"))</f>
        <v/>
      </c>
      <c r="K34" s="44">
        <f>IF(AND(ISNUMBER(Datos!I35),ISNUMBER($K$3),$K$3&gt;0),$K$3*(1-Datos!I35)/Datos!B35,"-")</f>
        <v/>
      </c>
      <c r="L34" s="8">
        <f>IF(AND(ISNUMBER(K34),ISNUMBER($B$2)),((K34*Datos!$B35)/(1+Datos!$C35)/$B$2)-1,IF(ISNUMBER($B$2),"-","INSERTAR COSTO"))</f>
        <v/>
      </c>
      <c r="M34" s="7">
        <f>IF(AND(ISNUMBER(Datos!L35),ISNUMBER($I$3),$I$3&gt;0),$I$3*(1-Datos!L35)/Datos!F35,"-")</f>
        <v/>
      </c>
      <c r="N34" s="73">
        <f>IF(AND(ISNUMBER(M34),ISNUMBER($B$2)),((M34*Datos!$B35)/(1+Datos!$C35)/$B$2)-1,IF(ISNUMBER($B$2),"-","INSERTAR COSTO"))</f>
        <v/>
      </c>
      <c r="O34" s="77">
        <f>IF(AND(ISNUMBER(Datos!D35),ISNUMBER($O$3),$O$3&gt;0),$O$3*(1+Datos!D35)/Datos!B35,"-")</f>
        <v/>
      </c>
      <c r="P34" s="76">
        <f>IF(AND(ISNUMBER(O34),ISNUMBER($B$2)),((O34*Datos!$B35)/(1+Datos!$C35)/$B$2)-1,IF(ISNUMBER($B$2),"-","INSERTAR COSTO"))</f>
        <v/>
      </c>
    </row>
    <row r="35" ht="14.5" customHeight="1">
      <c r="A35" s="17">
        <f>Datos!A36</f>
        <v/>
      </c>
      <c r="B35" s="19" t="inlineStr">
        <is>
          <t>Naranja 15 c/i</t>
        </is>
      </c>
      <c r="C35" s="44">
        <f>IF(AND(ISNUMBER(Datos!E36),ISNUMBER($C$3),$C$3&gt;0),$C$3*(1-Datos!E36)/Datos!B36,"-")</f>
        <v/>
      </c>
      <c r="D35" s="8">
        <f>IF(AND(ISNUMBER(C35),ISNUMBER($B$2)),((C35*Datos!$B36)/(1+Datos!$C36)/$B$2)-1,IF(ISNUMBER($B$2),"-","INSERTAR COSTO"))</f>
        <v/>
      </c>
      <c r="E35" s="44">
        <f>IF(AND(ISNUMBER(Datos!F36),ISNUMBER($E$3),$E$3&gt;0),$E$3*(1-Datos!F36)/Datos!B36,"-")</f>
        <v/>
      </c>
      <c r="F35" s="8">
        <f>IF(AND(ISNUMBER(E35),ISNUMBER($B$2)),((E35*Datos!$B36)/(1+Datos!$C36)/$B$2)-1,IF(ISNUMBER($B$2),"-","INSERTAR COSTO"))</f>
        <v/>
      </c>
      <c r="G35" s="44">
        <f>IF(AND(ISNUMBER(Datos!G36),ISNUMBER($G$3),$G$3&gt;0),$G$3*(1-Datos!G36)/Datos!B36,"-")</f>
        <v/>
      </c>
      <c r="H35" s="8">
        <f>IF(AND(ISNUMBER(G35),ISNUMBER($B$2)),((G35*Datos!$B36)/(1+Datos!$C36)/$B$2)-1,IF(ISNUMBER($B$2),"-","INSERTAR COSTO"))</f>
        <v/>
      </c>
      <c r="I35" s="7">
        <f>IF(AND(ISNUMBER(Datos!H36),ISNUMBER($I$3),$I$3&gt;0),$I$3*(1-Datos!H36)/Datos!B36,"-")</f>
        <v/>
      </c>
      <c r="J35" s="8">
        <f>IF(AND(ISNUMBER(I35),ISNUMBER($B$2)),((I35*Datos!$B36)/(1+Datos!$C36)/$B$2)-1,IF(ISNUMBER($B$2),"-","INSERTAR COSTO"))</f>
        <v/>
      </c>
      <c r="K35" s="44">
        <f>IF(AND(ISNUMBER(Datos!I36),ISNUMBER($K$3),$K$3&gt;0),$K$3*(1-Datos!I36)/Datos!B36,"-")</f>
        <v/>
      </c>
      <c r="L35" s="8">
        <f>IF(AND(ISNUMBER(K35),ISNUMBER($B$2)),((K35*Datos!$B36)/(1+Datos!$C36)/$B$2)-1,IF(ISNUMBER($B$2),"-","INSERTAR COSTO"))</f>
        <v/>
      </c>
      <c r="M35" s="7">
        <f>IF(AND(ISNUMBER(Datos!L36),ISNUMBER($I$3),$I$3&gt;0),$I$3*(1-Datos!L36)/Datos!F36,"-")</f>
        <v/>
      </c>
      <c r="N35" s="73">
        <f>IF(AND(ISNUMBER(M35),ISNUMBER($B$2)),((M35*Datos!$B36)/(1+Datos!$C36)/$B$2)-1,IF(ISNUMBER($B$2),"-","INSERTAR COSTO"))</f>
        <v/>
      </c>
      <c r="O35" s="77">
        <f>IF(AND(ISNUMBER(Datos!D36),ISNUMBER($O$3),$O$3&gt;0),$O$3*(1+Datos!D36)/Datos!B36,"-")</f>
        <v/>
      </c>
      <c r="P35" s="76">
        <f>IF(AND(ISNUMBER(O35),ISNUMBER($B$2)),((O35*Datos!$B36)/(1+Datos!$C36)/$B$2)-1,IF(ISNUMBER($B$2),"-","INSERTAR COSTO"))</f>
        <v/>
      </c>
    </row>
    <row r="36" ht="14.5" customHeight="1">
      <c r="A36" s="17">
        <f>Datos!A37</f>
        <v/>
      </c>
      <c r="B36" s="19" t="inlineStr">
        <is>
          <t>Naranja 18 s/i</t>
        </is>
      </c>
      <c r="C36" s="44">
        <f>IF(AND(ISNUMBER(Datos!E37),ISNUMBER($C$3),$C$3&gt;0),$C$3*(1-Datos!E37)/Datos!B37,"-")</f>
        <v/>
      </c>
      <c r="D36" s="8">
        <f>IF(AND(ISNUMBER(C36),ISNUMBER($B$2)),((C36*Datos!$B37)/(1+Datos!$C37)/$B$2)-1,IF(ISNUMBER($B$2),"-","INSERTAR COSTO"))</f>
        <v/>
      </c>
      <c r="E36" s="44">
        <f>IF(AND(ISNUMBER(Datos!F37),ISNUMBER($E$3),$E$3&gt;0),$E$3*(1-Datos!F37)/Datos!B37,"-")</f>
        <v/>
      </c>
      <c r="F36" s="8">
        <f>IF(AND(ISNUMBER(E36),ISNUMBER($B$2)),((E36*Datos!$B37)/(1+Datos!$C37)/$B$2)-1,IF(ISNUMBER($B$2),"-","INSERTAR COSTO"))</f>
        <v/>
      </c>
      <c r="G36" s="44">
        <f>IF(AND(ISNUMBER(Datos!G37),ISNUMBER($G$3),$G$3&gt;0),$G$3*(1-Datos!G37)/Datos!B37,"-")</f>
        <v/>
      </c>
      <c r="H36" s="8">
        <f>IF(AND(ISNUMBER(G36),ISNUMBER($B$2)),((G36*Datos!$B37)/(1+Datos!$C37)/$B$2)-1,IF(ISNUMBER($B$2),"-","INSERTAR COSTO"))</f>
        <v/>
      </c>
      <c r="I36" s="7">
        <f>IF(AND(ISNUMBER(Datos!H37),ISNUMBER($I$3),$I$3&gt;0),$I$3*(1-Datos!H37)/Datos!B37,"-")</f>
        <v/>
      </c>
      <c r="J36" s="8">
        <f>IF(AND(ISNUMBER(I36),ISNUMBER($B$2)),((I36*Datos!$B37)/(1+Datos!$C37)/$B$2)-1,IF(ISNUMBER($B$2),"-","INSERTAR COSTO"))</f>
        <v/>
      </c>
      <c r="K36" s="44">
        <f>IF(AND(ISNUMBER(Datos!I37),ISNUMBER($K$3),$K$3&gt;0),$K$3*(1-Datos!I37)/Datos!B37,"-")</f>
        <v/>
      </c>
      <c r="L36" s="8">
        <f>IF(AND(ISNUMBER(K36),ISNUMBER($B$2)),((K36*Datos!$B37)/(1+Datos!$C37)/$B$2)-1,IF(ISNUMBER($B$2),"-","INSERTAR COSTO"))</f>
        <v/>
      </c>
      <c r="M36" s="7">
        <f>IF(AND(ISNUMBER(Datos!L37),ISNUMBER($I$3),$I$3&gt;0),$I$3*(1-Datos!L37)/Datos!F37,"-")</f>
        <v/>
      </c>
      <c r="N36" s="73">
        <f>IF(AND(ISNUMBER(M36),ISNUMBER($B$2)),((M36*Datos!$B37)/(1+Datos!$C37)/$B$2)-1,IF(ISNUMBER($B$2),"-","INSERTAR COSTO"))</f>
        <v/>
      </c>
      <c r="O36" s="77">
        <f>IF(AND(ISNUMBER(Datos!D37),ISNUMBER($O$3),$O$3&gt;0),$O$3*(1+Datos!D37)/Datos!B37,"-")</f>
        <v/>
      </c>
      <c r="P36" s="76">
        <f>IF(AND(ISNUMBER(O36),ISNUMBER($B$2)),((O36*Datos!$B37)/(1+Datos!$C37)/$B$2)-1,IF(ISNUMBER($B$2),"-","INSERTAR COSTO"))</f>
        <v/>
      </c>
    </row>
    <row r="37" ht="14.5" customHeight="1">
      <c r="A37" s="17">
        <f>Datos!A38</f>
        <v/>
      </c>
      <c r="B37" s="19" t="inlineStr">
        <is>
          <t>Naranja 18 c/i</t>
        </is>
      </c>
      <c r="C37" s="44">
        <f>IF(AND(ISNUMBER(Datos!E38),ISNUMBER($C$3),$C$3&gt;0),$C$3*(1-Datos!E38)/Datos!B38,"-")</f>
        <v/>
      </c>
      <c r="D37" s="8">
        <f>IF(AND(ISNUMBER(C37),ISNUMBER($B$2)),((C37*Datos!$B38)/(1+Datos!$C38)/$B$2)-1,IF(ISNUMBER($B$2),"-","INSERTAR COSTO"))</f>
        <v/>
      </c>
      <c r="E37" s="44">
        <f>IF(AND(ISNUMBER(Datos!F38),ISNUMBER($E$3),$E$3&gt;0),$E$3*(1-Datos!F38)/Datos!B38,"-")</f>
        <v/>
      </c>
      <c r="F37" s="8">
        <f>IF(AND(ISNUMBER(E37),ISNUMBER($B$2)),((E37*Datos!$B38)/(1+Datos!$C38)/$B$2)-1,IF(ISNUMBER($B$2),"-","INSERTAR COSTO"))</f>
        <v/>
      </c>
      <c r="G37" s="44">
        <f>IF(AND(ISNUMBER(Datos!G38),ISNUMBER($G$3),$G$3&gt;0),$G$3*(1-Datos!G38)/Datos!B38,"-")</f>
        <v/>
      </c>
      <c r="H37" s="8">
        <f>IF(AND(ISNUMBER(G37),ISNUMBER($B$2)),((G37*Datos!$B38)/(1+Datos!$C38)/$B$2)-1,IF(ISNUMBER($B$2),"-","INSERTAR COSTO"))</f>
        <v/>
      </c>
      <c r="I37" s="7">
        <f>IF(AND(ISNUMBER(Datos!H38),ISNUMBER($I$3),$I$3&gt;0),$I$3*(1-Datos!H38)/Datos!B38,"-")</f>
        <v/>
      </c>
      <c r="J37" s="8">
        <f>IF(AND(ISNUMBER(I37),ISNUMBER($B$2)),((I37*Datos!$B38)/(1+Datos!$C38)/$B$2)-1,IF(ISNUMBER($B$2),"-","INSERTAR COSTO"))</f>
        <v/>
      </c>
      <c r="K37" s="44">
        <f>IF(AND(ISNUMBER(Datos!I38),ISNUMBER($K$3),$K$3&gt;0),$K$3*(1-Datos!I38)/Datos!B38,"-")</f>
        <v/>
      </c>
      <c r="L37" s="8">
        <f>IF(AND(ISNUMBER(K37),ISNUMBER($B$2)),((K37*Datos!$B38)/(1+Datos!$C38)/$B$2)-1,IF(ISNUMBER($B$2),"-","INSERTAR COSTO"))</f>
        <v/>
      </c>
      <c r="M37" s="7">
        <f>IF(AND(ISNUMBER(Datos!L38),ISNUMBER($I$3),$I$3&gt;0),$I$3*(1-Datos!L38)/Datos!F38,"-")</f>
        <v/>
      </c>
      <c r="N37" s="73">
        <f>IF(AND(ISNUMBER(M37),ISNUMBER($B$2)),((M37*Datos!$B38)/(1+Datos!$C38)/$B$2)-1,IF(ISNUMBER($B$2),"-","INSERTAR COSTO"))</f>
        <v/>
      </c>
      <c r="O37" s="77">
        <f>IF(AND(ISNUMBER(Datos!D38),ISNUMBER($O$3),$O$3&gt;0),$O$3*(1+Datos!D38)/Datos!B38,"-")</f>
        <v/>
      </c>
      <c r="P37" s="76">
        <f>IF(AND(ISNUMBER(O37),ISNUMBER($B$2)),((O37*Datos!$B38)/(1+Datos!$C38)/$B$2)-1,IF(ISNUMBER($B$2),"-","INSERTAR COSTO"))</f>
        <v/>
      </c>
    </row>
    <row r="38" ht="14.5" customHeight="1">
      <c r="A38" s="20">
        <f>Datos!A39</f>
        <v/>
      </c>
      <c r="B38" s="21" t="inlineStr">
        <is>
          <t>Débito/Crédito</t>
        </is>
      </c>
      <c r="C38" s="44">
        <f>IF(AND(ISNUMBER(Datos!E39),ISNUMBER($C$3),$C$3&gt;0),$C$3*(1-Datos!E39)/Datos!B39,"-")</f>
        <v/>
      </c>
      <c r="D38" s="8">
        <f>IF(AND(ISNUMBER(C38),ISNUMBER($B$2)),((C38*Datos!$B39)/(1+Datos!$C39)/$B$2)-1,IF(ISNUMBER($B$2),"-","INSERTAR COSTO"))</f>
        <v/>
      </c>
      <c r="E38" s="44">
        <f>IF(AND(ISNUMBER(Datos!F39),ISNUMBER($E$3),$E$3&gt;0),$E$3*(1-Datos!F39)/Datos!B39,"-")</f>
        <v/>
      </c>
      <c r="F38" s="8">
        <f>IF(AND(ISNUMBER(E38),ISNUMBER($B$2)),((E38*Datos!$B39)/(1+Datos!$C39)/$B$2)-1,IF(ISNUMBER($B$2),"-","INSERTAR COSTO"))</f>
        <v/>
      </c>
      <c r="G38" s="44">
        <f>IF(AND(ISNUMBER(Datos!G39),ISNUMBER($G$3),$G$3&gt;0),$G$3*(1-Datos!G39)/Datos!B39,"-")</f>
        <v/>
      </c>
      <c r="H38" s="8">
        <f>IF(AND(ISNUMBER(G38),ISNUMBER($B$2)),((G38*Datos!$B39)/(1+Datos!$C39)/$B$2)-1,IF(ISNUMBER($B$2),"-","INSERTAR COSTO"))</f>
        <v/>
      </c>
      <c r="I38" s="7">
        <f>IF(AND(ISNUMBER(Datos!H39),ISNUMBER($I$3),$I$3&gt;0),$I$3*(1-Datos!H39)/Datos!B39,"-")</f>
        <v/>
      </c>
      <c r="J38" s="8">
        <f>IF(AND(ISNUMBER(I38),ISNUMBER($B$2)),((I38*Datos!$B39)/(1+Datos!$C39)/$B$2)-1,IF(ISNUMBER($B$2),"-","INSERTAR COSTO"))</f>
        <v/>
      </c>
      <c r="K38" s="44">
        <f>IF(AND(ISNUMBER(Datos!I39),ISNUMBER($K$3),$K$3&gt;0),$K$3*(1-Datos!I39)/Datos!B39,"-")</f>
        <v/>
      </c>
      <c r="L38" s="8">
        <f>IF(AND(ISNUMBER(K38),ISNUMBER($B$2)),((K38*Datos!$B39)/(1+Datos!$C39)/$B$2)-1,IF(ISNUMBER($B$2),"-","INSERTAR COSTO"))</f>
        <v/>
      </c>
      <c r="M38" s="7">
        <f>IF(AND(ISNUMBER(Datos!L39),ISNUMBER($I$3),$I$3&gt;0),$I$3*(1-Datos!L39)/Datos!F39,"-")</f>
        <v/>
      </c>
      <c r="N38" s="73">
        <f>IF(AND(ISNUMBER(M38),ISNUMBER($B$2)),((M38*Datos!$B39)/(1+Datos!$C39)/$B$2)-1,IF(ISNUMBER($B$2),"-","INSERTAR COSTO"))</f>
        <v/>
      </c>
      <c r="O38" s="77">
        <f>IF(AND(ISNUMBER(Datos!D39),ISNUMBER($O$3),$O$3&gt;0),$O$3*(1+Datos!D39)/Datos!B39,"-")</f>
        <v/>
      </c>
      <c r="P38" s="76">
        <f>IF(AND(ISNUMBER(O38),ISNUMBER($B$2)),((O38*Datos!$B39)/(1+Datos!$C39)/$B$2)-1,IF(ISNUMBER($B$2),"-","INSERTAR COSTO"))</f>
        <v/>
      </c>
    </row>
    <row r="39" ht="14.5" customHeight="1">
      <c r="A39" s="20">
        <f>Datos!A40</f>
        <v/>
      </c>
      <c r="B39" s="21" t="inlineStr">
        <is>
          <t>3 sin int MP</t>
        </is>
      </c>
      <c r="C39" s="44">
        <f>IF(AND(ISNUMBER(Datos!E40),ISNUMBER($C$3),$C$3&gt;0),$C$3*(1-Datos!E40)/Datos!B40,"-")</f>
        <v/>
      </c>
      <c r="D39" s="8">
        <f>IF(AND(ISNUMBER(C39),ISNUMBER($B$2)),((C39*Datos!$B40)/(1+Datos!$C40)/$B$2)-1,IF(ISNUMBER($B$2),"-","INSERTAR COSTO"))</f>
        <v/>
      </c>
      <c r="E39" s="44">
        <f>IF(AND(ISNUMBER(Datos!F40),ISNUMBER($E$3),$E$3&gt;0),$E$3*(1-Datos!F40)/Datos!B40,"-")</f>
        <v/>
      </c>
      <c r="F39" s="8">
        <f>IF(AND(ISNUMBER(E39),ISNUMBER($B$2)),((E39*Datos!$B40)/(1+Datos!$C40)/$B$2)-1,IF(ISNUMBER($B$2),"-","INSERTAR COSTO"))</f>
        <v/>
      </c>
      <c r="G39" s="44">
        <f>IF(AND(ISNUMBER(Datos!G40),ISNUMBER($G$3),$G$3&gt;0),$G$3*(1-Datos!G40)/Datos!B40,"-")</f>
        <v/>
      </c>
      <c r="H39" s="8">
        <f>IF(AND(ISNUMBER(G39),ISNUMBER($B$2)),((G39*Datos!$B40)/(1+Datos!$C40)/$B$2)-1,IF(ISNUMBER($B$2),"-","INSERTAR COSTO"))</f>
        <v/>
      </c>
      <c r="I39" s="7">
        <f>IF(AND(ISNUMBER(Datos!H40),ISNUMBER($I$3),$I$3&gt;0),$I$3*(1-Datos!H40)/Datos!B40,"-")</f>
        <v/>
      </c>
      <c r="J39" s="8">
        <f>IF(AND(ISNUMBER(I39),ISNUMBER($B$2)),((I39*Datos!$B40)/(1+Datos!$C40)/$B$2)-1,IF(ISNUMBER($B$2),"-","INSERTAR COSTO"))</f>
        <v/>
      </c>
      <c r="K39" s="44">
        <f>IF(AND(ISNUMBER(Datos!I40),ISNUMBER($K$3),$K$3&gt;0),$K$3*(1-Datos!I40)/Datos!B40,"-")</f>
        <v/>
      </c>
      <c r="L39" s="8">
        <f>IF(AND(ISNUMBER(K39),ISNUMBER($B$2)),((K39*Datos!$B40)/(1+Datos!$C40)/$B$2)-1,IF(ISNUMBER($B$2),"-","INSERTAR COSTO"))</f>
        <v/>
      </c>
      <c r="M39" s="7">
        <f>IF(AND(ISNUMBER(Datos!L40),ISNUMBER($I$3),$I$3&gt;0),$I$3*(1-Datos!L40)/Datos!F40,"-")</f>
        <v/>
      </c>
      <c r="N39" s="73">
        <f>IF(AND(ISNUMBER(M39),ISNUMBER($B$2)),((M39*Datos!$B40)/(1+Datos!$C40)/$B$2)-1,IF(ISNUMBER($B$2),"-","INSERTAR COSTO"))</f>
        <v/>
      </c>
      <c r="O39" s="77">
        <f>IF(AND(ISNUMBER(Datos!D40),ISNUMBER($O$3),$O$3&gt;0),$O$3*(1+Datos!D40)/Datos!B40,"-")</f>
        <v/>
      </c>
      <c r="P39" s="76">
        <f>IF(AND(ISNUMBER(O39),ISNUMBER($B$2)),((O39*Datos!$B40)/(1+Datos!$C40)/$B$2)-1,IF(ISNUMBER($B$2),"-","INSERTAR COSTO"))</f>
        <v/>
      </c>
    </row>
    <row r="40" ht="14.5" customHeight="1">
      <c r="A40" s="20">
        <f>Datos!A41</f>
        <v/>
      </c>
      <c r="B40" s="21" t="inlineStr">
        <is>
          <t>6 sin int MP</t>
        </is>
      </c>
      <c r="C40" s="44">
        <f>IF(AND(ISNUMBER(Datos!E41),ISNUMBER($C$3),$C$3&gt;0),$C$3*(1-Datos!E41)/Datos!B41,"-")</f>
        <v/>
      </c>
      <c r="D40" s="8">
        <f>IF(AND(ISNUMBER(C40),ISNUMBER($B$2)),((C40*Datos!$B41)/(1+Datos!$C41)/$B$2)-1,IF(ISNUMBER($B$2),"-","INSERTAR COSTO"))</f>
        <v/>
      </c>
      <c r="E40" s="44">
        <f>IF(AND(ISNUMBER(Datos!F41),ISNUMBER($E$3),$E$3&gt;0),$E$3*(1-Datos!F41)/Datos!B41,"-")</f>
        <v/>
      </c>
      <c r="F40" s="8">
        <f>IF(AND(ISNUMBER(E40),ISNUMBER($B$2)),((E40*Datos!$B41)/(1+Datos!$C41)/$B$2)-1,IF(ISNUMBER($B$2),"-","INSERTAR COSTO"))</f>
        <v/>
      </c>
      <c r="G40" s="44">
        <f>IF(AND(ISNUMBER(Datos!G41),ISNUMBER($G$3),$G$3&gt;0),$G$3*(1-Datos!G41)/Datos!B41,"-")</f>
        <v/>
      </c>
      <c r="H40" s="8">
        <f>IF(AND(ISNUMBER(G40),ISNUMBER($B$2)),((G40*Datos!$B41)/(1+Datos!$C41)/$B$2)-1,IF(ISNUMBER($B$2),"-","INSERTAR COSTO"))</f>
        <v/>
      </c>
      <c r="I40" s="7">
        <f>IF(AND(ISNUMBER(Datos!H41),ISNUMBER($I$3),$I$3&gt;0),$I$3*(1-Datos!H41)/Datos!B41,"-")</f>
        <v/>
      </c>
      <c r="J40" s="8">
        <f>IF(AND(ISNUMBER(I40),ISNUMBER($B$2)),((I40*Datos!$B41)/(1+Datos!$C41)/$B$2)-1,IF(ISNUMBER($B$2),"-","INSERTAR COSTO"))</f>
        <v/>
      </c>
      <c r="K40" s="44">
        <f>IF(AND(ISNUMBER(Datos!I41),ISNUMBER($K$3),$K$3&gt;0),$K$3*(1-Datos!I41)/Datos!B41,"-")</f>
        <v/>
      </c>
      <c r="L40" s="8">
        <f>IF(AND(ISNUMBER(K40),ISNUMBER($B$2)),((K40*Datos!$B41)/(1+Datos!$C41)/$B$2)-1,IF(ISNUMBER($B$2),"-","INSERTAR COSTO"))</f>
        <v/>
      </c>
      <c r="M40" s="7">
        <f>IF(AND(ISNUMBER(Datos!L41),ISNUMBER($I$3),$I$3&gt;0),$I$3*(1-Datos!L41)/Datos!F41,"-")</f>
        <v/>
      </c>
      <c r="N40" s="73">
        <f>IF(AND(ISNUMBER(M40),ISNUMBER($B$2)),((M40*Datos!$B41)/(1+Datos!$C41)/$B$2)-1,IF(ISNUMBER($B$2),"-","INSERTAR COSTO"))</f>
        <v/>
      </c>
      <c r="O40" s="77">
        <f>IF(AND(ISNUMBER(Datos!D41),ISNUMBER($O$3),$O$3&gt;0),$O$3*(1+Datos!D41)/Datos!B41,"-")</f>
        <v/>
      </c>
      <c r="P40" s="76">
        <f>IF(AND(ISNUMBER(O40),ISNUMBER($B$2)),((O40*Datos!$B41)/(1+Datos!$C41)/$B$2)-1,IF(ISNUMBER($B$2),"-","INSERTAR COSTO"))</f>
        <v/>
      </c>
    </row>
    <row r="41" ht="14.5" customHeight="1">
      <c r="A41" s="20">
        <f>Datos!A42</f>
        <v/>
      </c>
      <c r="B41" s="21" t="inlineStr">
        <is>
          <t>9 sin int MP</t>
        </is>
      </c>
      <c r="C41" s="44">
        <f>IF(AND(ISNUMBER(Datos!E42),ISNUMBER($C$3),$C$3&gt;0),$C$3*(1-Datos!E42)/Datos!B42,"-")</f>
        <v/>
      </c>
      <c r="D41" s="8">
        <f>IF(AND(ISNUMBER(C41),ISNUMBER($B$2)),((C41*Datos!$B42)/(1+Datos!$C42)/$B$2)-1,IF(ISNUMBER($B$2),"-","INSERTAR COSTO"))</f>
        <v/>
      </c>
      <c r="E41" s="44">
        <f>IF(AND(ISNUMBER(Datos!F42),ISNUMBER($E$3),$E$3&gt;0),$E$3*(1-Datos!F42)/Datos!B42,"-")</f>
        <v/>
      </c>
      <c r="F41" s="8">
        <f>IF(AND(ISNUMBER(E41),ISNUMBER($B$2)),((E41*Datos!$B42)/(1+Datos!$C42)/$B$2)-1,IF(ISNUMBER($B$2),"-","INSERTAR COSTO"))</f>
        <v/>
      </c>
      <c r="G41" s="44">
        <f>IF(AND(ISNUMBER(Datos!G42),ISNUMBER($G$3),$G$3&gt;0),$G$3*(1-Datos!G42)/Datos!B42,"-")</f>
        <v/>
      </c>
      <c r="H41" s="8">
        <f>IF(AND(ISNUMBER(G41),ISNUMBER($B$2)),((G41*Datos!$B42)/(1+Datos!$C42)/$B$2)-1,IF(ISNUMBER($B$2),"-","INSERTAR COSTO"))</f>
        <v/>
      </c>
      <c r="I41" s="7">
        <f>IF(AND(ISNUMBER(Datos!H42),ISNUMBER($I$3),$I$3&gt;0),$I$3*(1-Datos!H42)/Datos!B42,"-")</f>
        <v/>
      </c>
      <c r="J41" s="8">
        <f>IF(AND(ISNUMBER(I41),ISNUMBER($B$2)),((I41*Datos!$B42)/(1+Datos!$C42)/$B$2)-1,IF(ISNUMBER($B$2),"-","INSERTAR COSTO"))</f>
        <v/>
      </c>
      <c r="K41" s="44">
        <f>IF(AND(ISNUMBER(Datos!I42),ISNUMBER($K$3),$K$3&gt;0),$K$3*(1-Datos!I42)/Datos!B42,"-")</f>
        <v/>
      </c>
      <c r="L41" s="8">
        <f>IF(AND(ISNUMBER(K41),ISNUMBER($B$2)),((K41*Datos!$B42)/(1+Datos!$C42)/$B$2)-1,IF(ISNUMBER($B$2),"-","INSERTAR COSTO"))</f>
        <v/>
      </c>
      <c r="M41" s="7">
        <f>IF(AND(ISNUMBER(Datos!L42),ISNUMBER($I$3),$I$3&gt;0),$I$3*(1-Datos!L42)/Datos!F42,"-")</f>
        <v/>
      </c>
      <c r="N41" s="73">
        <f>IF(AND(ISNUMBER(M41),ISNUMBER($B$2)),((M41*Datos!$B42)/(1+Datos!$C42)/$B$2)-1,IF(ISNUMBER($B$2),"-","INSERTAR COSTO"))</f>
        <v/>
      </c>
      <c r="O41" s="77">
        <f>IF(AND(ISNUMBER(Datos!D42),ISNUMBER($O$3),$O$3&gt;0),$O$3*(1+Datos!D42)/Datos!B42,"-")</f>
        <v/>
      </c>
      <c r="P41" s="76">
        <f>IF(AND(ISNUMBER(O41),ISNUMBER($B$2)),((O41*Datos!$B42)/(1+Datos!$C42)/$B$2)-1,IF(ISNUMBER($B$2),"-","INSERTAR COSTO"))</f>
        <v/>
      </c>
    </row>
    <row r="42" ht="14.5" customHeight="1">
      <c r="A42" s="20">
        <f>Datos!A43</f>
        <v/>
      </c>
      <c r="B42" s="21" t="inlineStr">
        <is>
          <t>9 con int MP</t>
        </is>
      </c>
      <c r="C42" s="44">
        <f>IF(AND(ISNUMBER(Datos!E43),ISNUMBER($C$3),$C$3&gt;0),$C$3*(1-Datos!E43)/Datos!B43,"-")</f>
        <v/>
      </c>
      <c r="D42" s="8">
        <f>IF(AND(ISNUMBER(C42),ISNUMBER($B$2)),((C42*Datos!$B43)/(1+Datos!$C43)/$B$2)-1,IF(ISNUMBER($B$2),"-","INSERTAR COSTO"))</f>
        <v/>
      </c>
      <c r="E42" s="44">
        <f>IF(AND(ISNUMBER(Datos!F43),ISNUMBER($E$3),$E$3&gt;0),$E$3*(1-Datos!F43)/Datos!B43,"-")</f>
        <v/>
      </c>
      <c r="F42" s="8">
        <f>IF(AND(ISNUMBER(E42),ISNUMBER($B$2)),((E42*Datos!$B43)/(1+Datos!$C43)/$B$2)-1,IF(ISNUMBER($B$2),"-","INSERTAR COSTO"))</f>
        <v/>
      </c>
      <c r="G42" s="44">
        <f>IF(AND(ISNUMBER(Datos!G43),ISNUMBER($G$3),$G$3&gt;0),$G$3*(1-Datos!G43)/Datos!B43,"-")</f>
        <v/>
      </c>
      <c r="H42" s="8">
        <f>IF(AND(ISNUMBER(G42),ISNUMBER($B$2)),((G42*Datos!$B43)/(1+Datos!$C43)/$B$2)-1,IF(ISNUMBER($B$2),"-","INSERTAR COSTO"))</f>
        <v/>
      </c>
      <c r="I42" s="7">
        <f>IF(AND(ISNUMBER(Datos!H43),ISNUMBER($I$3),$I$3&gt;0),$I$3*(1-Datos!H43)/Datos!B43,"-")</f>
        <v/>
      </c>
      <c r="J42" s="8">
        <f>IF(AND(ISNUMBER(I42),ISNUMBER($B$2)),((I42*Datos!$B43)/(1+Datos!$C43)/$B$2)-1,IF(ISNUMBER($B$2),"-","INSERTAR COSTO"))</f>
        <v/>
      </c>
      <c r="K42" s="44">
        <f>IF(AND(ISNUMBER(Datos!I43),ISNUMBER($K$3),$K$3&gt;0),$K$3*(1-Datos!I43)/Datos!B43,"-")</f>
        <v/>
      </c>
      <c r="L42" s="8">
        <f>IF(AND(ISNUMBER(K42),ISNUMBER($B$2)),((K42*Datos!$B43)/(1+Datos!$C43)/$B$2)-1,IF(ISNUMBER($B$2),"-","INSERTAR COSTO"))</f>
        <v/>
      </c>
      <c r="M42" s="7">
        <f>IF(AND(ISNUMBER(Datos!L43),ISNUMBER($I$3),$I$3&gt;0),$I$3*(1-Datos!L43)/Datos!F43,"-")</f>
        <v/>
      </c>
      <c r="N42" s="73">
        <f>IF(AND(ISNUMBER(M42),ISNUMBER($B$2)),((M42*Datos!$B43)/(1+Datos!$C43)/$B$2)-1,IF(ISNUMBER($B$2),"-","INSERTAR COSTO"))</f>
        <v/>
      </c>
      <c r="O42" s="77">
        <f>IF(AND(ISNUMBER(Datos!D43),ISNUMBER($O$3),$O$3&gt;0),$O$3*(1+Datos!D43)/Datos!B43,"-")</f>
        <v/>
      </c>
      <c r="P42" s="76">
        <f>IF(AND(ISNUMBER(O42),ISNUMBER($B$2)),((O42*Datos!$B43)/(1+Datos!$C43)/$B$2)-1,IF(ISNUMBER($B$2),"-","INSERTAR COSTO"))</f>
        <v/>
      </c>
    </row>
    <row r="43" ht="14.5" customHeight="1">
      <c r="A43" s="20">
        <f>Datos!A45</f>
        <v/>
      </c>
      <c r="B43" s="22" t="inlineStr">
        <is>
          <t>12 sin int MP</t>
        </is>
      </c>
      <c r="C43" s="44">
        <f>IF(AND(ISNUMBER(Datos!E44),ISNUMBER($C$3),$C$3&gt;0),$C$3*(1-Datos!E44)/Datos!B44,"-")</f>
        <v/>
      </c>
      <c r="D43" s="8">
        <f>IF(AND(ISNUMBER(C43),ISNUMBER($B$2)),((C43*Datos!$B44)/(1+Datos!$C44)/$B$2)-1,IF(ISNUMBER($B$2),"-","INSERTAR COSTO"))</f>
        <v/>
      </c>
      <c r="E43" s="44">
        <f>IF(AND(ISNUMBER(Datos!F44),ISNUMBER($E$3),$E$3&gt;0),$E$3*(1-Datos!F44)/Datos!B44,"-")</f>
        <v/>
      </c>
      <c r="F43" s="8">
        <f>IF(AND(ISNUMBER(E43),ISNUMBER($B$2)),((E43*Datos!$B44)/(1+Datos!$C44)/$B$2)-1,IF(ISNUMBER($B$2),"-","INSERTAR COSTO"))</f>
        <v/>
      </c>
      <c r="G43" s="44">
        <f>IF(AND(ISNUMBER(Datos!G44),ISNUMBER($G$3),$G$3&gt;0),$G$3*(1-Datos!G44)/Datos!B44,"-")</f>
        <v/>
      </c>
      <c r="H43" s="8">
        <f>IF(AND(ISNUMBER(G43),ISNUMBER($B$2)),((G43*Datos!$B44)/(1+Datos!$C44)/$B$2)-1,IF(ISNUMBER($B$2),"-","INSERTAR COSTO"))</f>
        <v/>
      </c>
      <c r="I43" s="7">
        <f>IF(AND(ISNUMBER(Datos!H44),ISNUMBER($I$3),$I$3&gt;0),$I$3*(1-Datos!H44)/Datos!B44,"-")</f>
        <v/>
      </c>
      <c r="J43" s="8">
        <f>IF(AND(ISNUMBER(I43),ISNUMBER($B$2)),((I43*Datos!$B44)/(1+Datos!$C44)/$B$2)-1,IF(ISNUMBER($B$2),"-","INSERTAR COSTO"))</f>
        <v/>
      </c>
      <c r="K43" s="44">
        <f>IF(AND(ISNUMBER(Datos!I44),ISNUMBER($K$3),$K$3&gt;0),$K$3*(1-Datos!I44)/Datos!B44,"-")</f>
        <v/>
      </c>
      <c r="L43" s="8">
        <f>IF(AND(ISNUMBER(K43),ISNUMBER($B$2)),((K43*Datos!$B44)/(1+Datos!$C44)/$B$2)-1,IF(ISNUMBER($B$2),"-","INSERTAR COSTO"))</f>
        <v/>
      </c>
      <c r="M43" s="7">
        <f>IF(AND(ISNUMBER(Datos!L44),ISNUMBER($I$3),$I$3&gt;0),$I$3*(1-Datos!L44)/Datos!F44,"-")</f>
        <v/>
      </c>
      <c r="N43" s="73">
        <f>IF(AND(ISNUMBER(M43),ISNUMBER($B$2)),((M43*Datos!$B44)/(1+Datos!$C44)/$B$2)-1,IF(ISNUMBER($B$2),"-","INSERTAR COSTO"))</f>
        <v/>
      </c>
      <c r="O43" s="77">
        <f>IF(AND(ISNUMBER(Datos!D44),ISNUMBER($O$3),$O$3&gt;0),$O$3*(1+Datos!D44)/Datos!B44,"-")</f>
        <v/>
      </c>
      <c r="P43" s="76">
        <f>IF(AND(ISNUMBER(O43),ISNUMBER($B$2)),((O43*Datos!$B44)/(1+Datos!$C44)/$B$2)-1,IF(ISNUMBER($B$2),"-","INSERTAR COSTO"))</f>
        <v/>
      </c>
    </row>
    <row r="44" ht="14.5" customHeight="1">
      <c r="A44" s="20">
        <f>Datos!A45</f>
        <v/>
      </c>
      <c r="B44" s="21" t="inlineStr">
        <is>
          <t>12 con int MP</t>
        </is>
      </c>
      <c r="C44" s="44">
        <f>IF(AND(ISNUMBER(Datos!E45),ISNUMBER($C$3),$C$3&gt;0),$C$3*(1-Datos!E45)/Datos!B45,"-")</f>
        <v/>
      </c>
      <c r="D44" s="8">
        <f>IF(AND(ISNUMBER(C44),ISNUMBER($B$2)),((C44*Datos!$B45)/(1+Datos!$C45)/$B$2)-1,IF(ISNUMBER($B$2),"-","INSERTAR COSTO"))</f>
        <v/>
      </c>
      <c r="E44" s="44">
        <f>IF(AND(ISNUMBER(Datos!F45),ISNUMBER($E$3),$E$3&gt;0),$E$3*(1-Datos!F45)/Datos!B45,"-")</f>
        <v/>
      </c>
      <c r="F44" s="8">
        <f>IF(AND(ISNUMBER(E44),ISNUMBER($B$2)),((E44*Datos!$B45)/(1+Datos!$C45)/$B$2)-1,IF(ISNUMBER($B$2),"-","INSERTAR COSTO"))</f>
        <v/>
      </c>
      <c r="G44" s="44">
        <f>IF(AND(ISNUMBER(Datos!G45),ISNUMBER($G$3),$G$3&gt;0),$G$3*(1-Datos!G45)/Datos!B45,"-")</f>
        <v/>
      </c>
      <c r="H44" s="8">
        <f>IF(AND(ISNUMBER(G44),ISNUMBER($B$2)),((G44*Datos!$B45)/(1+Datos!$C45)/$B$2)-1,IF(ISNUMBER($B$2),"-","INSERTAR COSTO"))</f>
        <v/>
      </c>
      <c r="I44" s="7">
        <f>IF(AND(ISNUMBER(Datos!H45),ISNUMBER($I$3),$I$3&gt;0),$I$3*(1-Datos!H45)/Datos!B45,"-")</f>
        <v/>
      </c>
      <c r="J44" s="8">
        <f>IF(AND(ISNUMBER(I44),ISNUMBER($B$2)),((I44*Datos!$B45)/(1+Datos!$C45)/$B$2)-1,IF(ISNUMBER($B$2),"-","INSERTAR COSTO"))</f>
        <v/>
      </c>
      <c r="K44" s="44">
        <f>IF(AND(ISNUMBER(Datos!I45),ISNUMBER($K$3),$K$3&gt;0),$K$3*(1-Datos!I45)/Datos!B45,"-")</f>
        <v/>
      </c>
      <c r="L44" s="8">
        <f>IF(AND(ISNUMBER(K44),ISNUMBER($B$2)),((K44*Datos!$B45)/(1+Datos!$C45)/$B$2)-1,IF(ISNUMBER($B$2),"-","INSERTAR COSTO"))</f>
        <v/>
      </c>
      <c r="M44" s="7">
        <f>IF(AND(ISNUMBER(Datos!L45),ISNUMBER($I$3),$I$3&gt;0),$I$3*(1-Datos!L45)/Datos!F45,"-")</f>
        <v/>
      </c>
      <c r="N44" s="73">
        <f>IF(AND(ISNUMBER(M44),ISNUMBER($B$2)),((M44*Datos!$B45)/(1+Datos!$C45)/$B$2)-1,IF(ISNUMBER($B$2),"-","INSERTAR COSTO"))</f>
        <v/>
      </c>
      <c r="O44" s="77">
        <f>IF(AND(ISNUMBER(Datos!D45),ISNUMBER($O$3),$O$3&gt;0),$O$3*(1+Datos!D45)/Datos!B45,"-")</f>
        <v/>
      </c>
      <c r="P44" s="76">
        <f>IF(AND(ISNUMBER(O44),ISNUMBER($B$2)),((O44*Datos!$B45)/(1+Datos!$C45)/$B$2)-1,IF(ISNUMBER($B$2),"-","INSERTAR COSTO"))</f>
        <v/>
      </c>
    </row>
    <row r="45" ht="14.5" customHeight="1">
      <c r="A45" s="20">
        <f>Datos!A46</f>
        <v/>
      </c>
      <c r="B45" s="22" t="inlineStr">
        <is>
          <t>18 con int MP</t>
        </is>
      </c>
      <c r="C45" s="44">
        <f>IF(AND(ISNUMBER(Datos!E46),ISNUMBER($C$3),$C$3&gt;0),$C$3*(1-Datos!E46)/Datos!B46,"-")</f>
        <v/>
      </c>
      <c r="D45" s="8">
        <f>IF(AND(ISNUMBER(C45),ISNUMBER($B$2)),((C45*Datos!$B46)/(1+Datos!$C46)/$B$2)-1,IF(ISNUMBER($B$2),"-","INSERTAR COSTO"))</f>
        <v/>
      </c>
      <c r="E45" s="44">
        <f>IF(AND(ISNUMBER(Datos!F46),ISNUMBER($E$3),$E$3&gt;0),$E$3*(1-Datos!F46)/Datos!B46,"-")</f>
        <v/>
      </c>
      <c r="F45" s="8">
        <f>IF(AND(ISNUMBER(E45),ISNUMBER($B$2)),((E45*Datos!$B46)/(1+Datos!$C46)/$B$2)-1,IF(ISNUMBER($B$2),"-","INSERTAR COSTO"))</f>
        <v/>
      </c>
      <c r="G45" s="44">
        <f>IF(AND(ISNUMBER(Datos!G46),ISNUMBER($G$3),$G$3&gt;0),$G$3*(1-Datos!G46)/Datos!B46,"-")</f>
        <v/>
      </c>
      <c r="H45" s="8">
        <f>IF(AND(ISNUMBER(G45),ISNUMBER($B$2)),((G45*Datos!$B46)/(1+Datos!$C46)/$B$2)-1,IF(ISNUMBER($B$2),"-","INSERTAR COSTO"))</f>
        <v/>
      </c>
      <c r="I45" s="7">
        <f>IF(AND(ISNUMBER(Datos!H46),ISNUMBER($I$3),$I$3&gt;0),$I$3*(1-Datos!H46)/Datos!B46,"-")</f>
        <v/>
      </c>
      <c r="J45" s="8">
        <f>IF(AND(ISNUMBER(I45),ISNUMBER($B$2)),((I45*Datos!$B46)/(1+Datos!$C46)/$B$2)-1,IF(ISNUMBER($B$2),"-","INSERTAR COSTO"))</f>
        <v/>
      </c>
      <c r="K45" s="44">
        <f>IF(AND(ISNUMBER(Datos!I46),ISNUMBER($K$3),$K$3&gt;0),$K$3*(1-Datos!I46)/Datos!B46,"-")</f>
        <v/>
      </c>
      <c r="L45" s="8">
        <f>IF(AND(ISNUMBER(K45),ISNUMBER($B$2)),((K45*Datos!$B46)/(1+Datos!$C46)/$B$2)-1,IF(ISNUMBER($B$2),"-","INSERTAR COSTO"))</f>
        <v/>
      </c>
      <c r="M45" s="7">
        <f>IF(AND(ISNUMBER(Datos!L46),ISNUMBER($I$3),$I$3&gt;0),$I$3*(1-Datos!L46)/Datos!F46,"-")</f>
        <v/>
      </c>
      <c r="N45" s="73">
        <f>IF(AND(ISNUMBER(M45),ISNUMBER($B$2)),((M45*Datos!$B46)/(1+Datos!$C46)/$B$2)-1,IF(ISNUMBER($B$2),"-","INSERTAR COSTO"))</f>
        <v/>
      </c>
      <c r="O45" s="77">
        <f>IF(AND(ISNUMBER(Datos!D46),ISNUMBER($O$3),$O$3&gt;0),$O$3*(1+Datos!D46)/Datos!B46,"-")</f>
        <v/>
      </c>
      <c r="P45" s="76">
        <f>IF(AND(ISNUMBER(O45),ISNUMBER($B$2)),((O45*Datos!$B46)/(1+Datos!$C46)/$B$2)-1,IF(ISNUMBER($B$2),"-","INSERTAR COSTO"))</f>
        <v/>
      </c>
    </row>
    <row r="46" ht="14.5" customHeight="1">
      <c r="A46" s="20">
        <f>Datos!A47</f>
        <v/>
      </c>
      <c r="B46" s="22" t="inlineStr">
        <is>
          <t>24 con int MP</t>
        </is>
      </c>
      <c r="C46" s="44">
        <f>IF(AND(ISNUMBER(Datos!E47),ISNUMBER($C$3),$C$3&gt;0),$C$3*(1-Datos!E47)/Datos!B47,"-")</f>
        <v/>
      </c>
      <c r="D46" s="8">
        <f>IF(AND(ISNUMBER(C46),ISNUMBER($B$2)),((C46*Datos!$B47)/(1+Datos!$C47)/$B$2)-1,IF(ISNUMBER($B$2),"-","INSERTAR COSTO"))</f>
        <v/>
      </c>
      <c r="E46" s="44">
        <f>IF(AND(ISNUMBER(Datos!F47),ISNUMBER($E$3),$E$3&gt;0),$E$3*(1-Datos!F47)/Datos!B47,"-")</f>
        <v/>
      </c>
      <c r="F46" s="8">
        <f>IF(AND(ISNUMBER(E46),ISNUMBER($B$2)),((E46*Datos!$B47)/(1+Datos!$C47)/$B$2)-1,IF(ISNUMBER($B$2),"-","INSERTAR COSTO"))</f>
        <v/>
      </c>
      <c r="G46" s="44">
        <f>IF(AND(ISNUMBER(Datos!G47),ISNUMBER($G$3),$G$3&gt;0),$G$3*(1-Datos!G47)/Datos!B47,"-")</f>
        <v/>
      </c>
      <c r="H46" s="8">
        <f>IF(AND(ISNUMBER(G46),ISNUMBER($B$2)),((G46*Datos!$B47)/(1+Datos!$C47)/$B$2)-1,IF(ISNUMBER($B$2),"-","INSERTAR COSTO"))</f>
        <v/>
      </c>
      <c r="I46" s="7">
        <f>IF(AND(ISNUMBER(Datos!H47),ISNUMBER($I$3),$I$3&gt;0),$I$3*(1-Datos!H47)/Datos!B47,"-")</f>
        <v/>
      </c>
      <c r="J46" s="8">
        <f>IF(AND(ISNUMBER(I46),ISNUMBER($B$2)),((I46*Datos!$B47)/(1+Datos!$C47)/$B$2)-1,IF(ISNUMBER($B$2),"-","INSERTAR COSTO"))</f>
        <v/>
      </c>
      <c r="K46" s="44">
        <f>IF(AND(ISNUMBER(Datos!I47),ISNUMBER($K$3),$K$3&gt;0),$K$3*(1-Datos!I47)/Datos!B47,"-")</f>
        <v/>
      </c>
      <c r="L46" s="8">
        <f>IF(AND(ISNUMBER(K46),ISNUMBER($B$2)),((K46*Datos!$B47)/(1+Datos!$C47)/$B$2)-1,IF(ISNUMBER($B$2),"-","INSERTAR COSTO"))</f>
        <v/>
      </c>
      <c r="M46" s="7">
        <f>IF(AND(ISNUMBER(Datos!L47),ISNUMBER($I$3),$I$3&gt;0),$I$3*(1-Datos!L47)/Datos!F47,"-")</f>
        <v/>
      </c>
      <c r="N46" s="73">
        <f>IF(AND(ISNUMBER(M46),ISNUMBER($B$2)),((M46*Datos!$B47)/(1+Datos!$C47)/$B$2)-1,IF(ISNUMBER($B$2),"-","INSERTAR COSTO"))</f>
        <v/>
      </c>
      <c r="O46" s="77">
        <f>IF(AND(ISNUMBER(Datos!D47),ISNUMBER($O$3),$O$3&gt;0),$O$3*(1+Datos!D47)/Datos!B47,"-")</f>
        <v/>
      </c>
      <c r="P46" s="76">
        <f>IF(AND(ISNUMBER(O46),ISNUMBER($B$2)),((O46*Datos!$B47)/(1+Datos!$C47)/$B$2)-1,IF(ISNUMBER($B$2),"-","INSERTAR COSTO"))</f>
        <v/>
      </c>
    </row>
    <row r="47" hidden="1" ht="14.5" customHeight="1">
      <c r="A47" s="23">
        <f>Datos!A48</f>
        <v/>
      </c>
      <c r="B47" s="24" t="inlineStr">
        <is>
          <t>3 sin int Santander</t>
        </is>
      </c>
      <c r="C47" s="44">
        <f>IF(AND(ISNUMBER(Datos!E48),ISNUMBER($C$3),$C$3&gt;0),$C$3*(1-Datos!E48)/Datos!B48,"-")</f>
        <v/>
      </c>
      <c r="D47" s="8">
        <f>IF(AND(ISNUMBER(C47),ISNUMBER($B$2)),((C47*Datos!$B48)/(1+Datos!$C48)/$B$2)-1,IF(ISNUMBER($B$2),"-","INSERTAR COSTO"))</f>
        <v/>
      </c>
      <c r="E47" s="44">
        <f>IF(AND(ISNUMBER(Datos!F48),ISNUMBER($E$3),$E$3&gt;0),$E$3*(1-Datos!F48)/Datos!B48,"-")</f>
        <v/>
      </c>
      <c r="F47" s="8">
        <f>IF(AND(ISNUMBER(E47),ISNUMBER($B$2)),((E47*Datos!$B48)/(1+Datos!$C48)/$B$2)-1,IF(ISNUMBER($B$2),"-","INSERTAR COSTO"))</f>
        <v/>
      </c>
      <c r="G47" s="44">
        <f>IF(AND(ISNUMBER(Datos!G48),ISNUMBER($G$3),$G$3&gt;0),$G$3*(1-Datos!G48)/Datos!B48,"-")</f>
        <v/>
      </c>
      <c r="H47" s="8">
        <f>IF(AND(ISNUMBER(G47),ISNUMBER($B$2)),((G47*Datos!$B48)/(1+Datos!$C48)/$B$2)-1,IF(ISNUMBER($B$2),"-","INSERTAR COSTO"))</f>
        <v/>
      </c>
      <c r="I47" s="7">
        <f>IF(AND(ISNUMBER(Datos!H48),ISNUMBER($I$3),$I$3&gt;0),$I$3*(1-Datos!H48)/Datos!B48,"-")</f>
        <v/>
      </c>
      <c r="J47" s="8">
        <f>IF(AND(ISNUMBER(I47),ISNUMBER($B$2)),((I47*Datos!$B48)/(1+Datos!$C48)/$B$2)-1,IF(ISNUMBER($B$2),"-","INSERTAR COSTO"))</f>
        <v/>
      </c>
      <c r="K47" s="44">
        <f>IF(AND(ISNUMBER(Datos!I48),ISNUMBER($K$3),$K$3&gt;0),$K$3*(1-Datos!I48)/Datos!B48,"-")</f>
        <v/>
      </c>
      <c r="L47" s="8">
        <f>IF(AND(ISNUMBER(K47),ISNUMBER($B$2)),((K47*Datos!$B48)/(1+Datos!$C48)/$B$2)-1,IF(ISNUMBER($B$2),"-","INSERTAR COSTO"))</f>
        <v/>
      </c>
      <c r="M47" s="7">
        <f>IF(AND(ISNUMBER(Datos!L48),ISNUMBER($I$3),$I$3&gt;0),$I$3*(1-Datos!L48)/Datos!F48,"-")</f>
        <v/>
      </c>
      <c r="N47" s="73">
        <f>IF(AND(ISNUMBER(M47),ISNUMBER($B$2)),((M47*Datos!$B48)/(1+Datos!$C48)/$B$2)-1,IF(ISNUMBER($B$2),"-","INSERTAR COSTO"))</f>
        <v/>
      </c>
      <c r="O47" s="77">
        <f>IF(AND(ISNUMBER(Datos!D48),ISNUMBER($O$3),$O$3&gt;0),$O$3*(1+Datos!D48)/Datos!B48,"-")</f>
        <v/>
      </c>
      <c r="P47" s="76">
        <f>IF(AND(ISNUMBER(O47),ISNUMBER($B$2)),((O47*Datos!$B48)/(1+Datos!$C48)/$B$2)-1,IF(ISNUMBER($B$2),"-","INSERTAR COSTO"))</f>
        <v/>
      </c>
    </row>
    <row r="48" hidden="1" ht="14.5" customHeight="1">
      <c r="A48" s="23">
        <f>Datos!A49</f>
        <v/>
      </c>
      <c r="B48" s="24" t="inlineStr">
        <is>
          <t>6 sin int Santander</t>
        </is>
      </c>
      <c r="C48" s="44">
        <f>IF(AND(ISNUMBER(Datos!E49),ISNUMBER($C$3),$C$3&gt;0),$C$3*(1-Datos!E49)/Datos!B49,"-")</f>
        <v/>
      </c>
      <c r="D48" s="8">
        <f>IF(AND(ISNUMBER(C48),ISNUMBER($B$2)),((C48*Datos!$B49)/(1+Datos!$C49)/$B$2)-1,IF(ISNUMBER($B$2),"-","INSERTAR COSTO"))</f>
        <v/>
      </c>
      <c r="E48" s="44">
        <f>IF(AND(ISNUMBER(Datos!F49),ISNUMBER($E$3),$E$3&gt;0),$E$3*(1-Datos!F49)/Datos!B49,"-")</f>
        <v/>
      </c>
      <c r="F48" s="8">
        <f>IF(AND(ISNUMBER(E48),ISNUMBER($B$2)),((E48*Datos!$B49)/(1+Datos!$C49)/$B$2)-1,IF(ISNUMBER($B$2),"-","INSERTAR COSTO"))</f>
        <v/>
      </c>
      <c r="G48" s="44">
        <f>IF(AND(ISNUMBER(Datos!G49),ISNUMBER($G$3),$G$3&gt;0),$G$3*(1-Datos!G49)/Datos!B49,"-")</f>
        <v/>
      </c>
      <c r="H48" s="8">
        <f>IF(AND(ISNUMBER(G48),ISNUMBER($B$2)),((G48*Datos!$B49)/(1+Datos!$C49)/$B$2)-1,IF(ISNUMBER($B$2),"-","INSERTAR COSTO"))</f>
        <v/>
      </c>
      <c r="I48" s="7">
        <f>IF(AND(ISNUMBER(Datos!H49),ISNUMBER($I$3),$I$3&gt;0),$I$3*(1-Datos!H49)/Datos!B49,"-")</f>
        <v/>
      </c>
      <c r="J48" s="8">
        <f>IF(AND(ISNUMBER(I48),ISNUMBER($B$2)),((I48*Datos!$B49)/(1+Datos!$C49)/$B$2)-1,IF(ISNUMBER($B$2),"-","INSERTAR COSTO"))</f>
        <v/>
      </c>
      <c r="K48" s="44">
        <f>IF(AND(ISNUMBER(Datos!I49),ISNUMBER($K$3),$K$3&gt;0),$K$3*(1-Datos!I49)/Datos!B49,"-")</f>
        <v/>
      </c>
      <c r="L48" s="8">
        <f>IF(AND(ISNUMBER(K48),ISNUMBER($B$2)),((K48*Datos!$B49)/(1+Datos!$C49)/$B$2)-1,IF(ISNUMBER($B$2),"-","INSERTAR COSTO"))</f>
        <v/>
      </c>
      <c r="M48" s="7">
        <f>IF(AND(ISNUMBER(Datos!L49),ISNUMBER($I$3),$I$3&gt;0),$I$3*(1-Datos!L49)/Datos!F49,"-")</f>
        <v/>
      </c>
      <c r="N48" s="73">
        <f>IF(AND(ISNUMBER(M48),ISNUMBER($B$2)),((M48*Datos!$B49)/(1+Datos!$C49)/$B$2)-1,IF(ISNUMBER($B$2),"-","INSERTAR COSTO"))</f>
        <v/>
      </c>
      <c r="O48" s="77">
        <f>IF(AND(ISNUMBER(Datos!D49),ISNUMBER($O$3),$O$3&gt;0),$O$3*(1+Datos!D49)/Datos!B49,"-")</f>
        <v/>
      </c>
      <c r="P48" s="76">
        <f>IF(AND(ISNUMBER(O48),ISNUMBER($B$2)),((O48*Datos!$B49)/(1+Datos!$C49)/$B$2)-1,IF(ISNUMBER($B$2),"-","INSERTAR COSTO"))</f>
        <v/>
      </c>
    </row>
    <row r="49" hidden="1" ht="14.5" customHeight="1">
      <c r="A49" s="23">
        <f>Datos!A50</f>
        <v/>
      </c>
      <c r="B49" s="24" t="inlineStr">
        <is>
          <t>9 sin int Santander</t>
        </is>
      </c>
      <c r="C49" s="44">
        <f>IF(AND(ISNUMBER(Datos!E50),ISNUMBER($C$3),$C$3&gt;0),$C$3*(1-Datos!E50)/Datos!B50,"-")</f>
        <v/>
      </c>
      <c r="D49" s="8">
        <f>IF(AND(ISNUMBER(C49),ISNUMBER($B$2)),((C49*Datos!$B50)/(1+Datos!$C50)/$B$2)-1,IF(ISNUMBER($B$2),"-","INSERTAR COSTO"))</f>
        <v/>
      </c>
      <c r="E49" s="44">
        <f>IF(AND(ISNUMBER(Datos!F50),ISNUMBER($E$3),$E$3&gt;0),$E$3*(1-Datos!F50)/Datos!B50,"-")</f>
        <v/>
      </c>
      <c r="F49" s="8">
        <f>IF(AND(ISNUMBER(E49),ISNUMBER($B$2)),((E49*Datos!$B50)/(1+Datos!$C50)/$B$2)-1,IF(ISNUMBER($B$2),"-","INSERTAR COSTO"))</f>
        <v/>
      </c>
      <c r="G49" s="44">
        <f>IF(AND(ISNUMBER(Datos!G50),ISNUMBER($G$3),$G$3&gt;0),$G$3*(1-Datos!G50)/Datos!B50,"-")</f>
        <v/>
      </c>
      <c r="H49" s="8">
        <f>IF(AND(ISNUMBER(G49),ISNUMBER($B$2)),((G49*Datos!$B50)/(1+Datos!$C50)/$B$2)-1,IF(ISNUMBER($B$2),"-","INSERTAR COSTO"))</f>
        <v/>
      </c>
      <c r="I49" s="7">
        <f>IF(AND(ISNUMBER(Datos!H50),ISNUMBER($I$3),$I$3&gt;0),$I$3*(1-Datos!H50)/Datos!B50,"-")</f>
        <v/>
      </c>
      <c r="J49" s="8">
        <f>IF(AND(ISNUMBER(I49),ISNUMBER($B$2)),((I49*Datos!$B50)/(1+Datos!$C50)/$B$2)-1,IF(ISNUMBER($B$2),"-","INSERTAR COSTO"))</f>
        <v/>
      </c>
      <c r="K49" s="44">
        <f>IF(AND(ISNUMBER(Datos!I50),ISNUMBER($K$3),$K$3&gt;0),$K$3*(1-Datos!I50)/Datos!B50,"-")</f>
        <v/>
      </c>
      <c r="L49" s="8">
        <f>IF(AND(ISNUMBER(K49),ISNUMBER($B$2)),((K49*Datos!$B50)/(1+Datos!$C50)/$B$2)-1,IF(ISNUMBER($B$2),"-","INSERTAR COSTO"))</f>
        <v/>
      </c>
      <c r="M49" s="7">
        <f>IF(AND(ISNUMBER(Datos!L50),ISNUMBER($I$3),$I$3&gt;0),$I$3*(1-Datos!L50)/Datos!F50,"-")</f>
        <v/>
      </c>
      <c r="N49" s="73">
        <f>IF(AND(ISNUMBER(M49),ISNUMBER($B$2)),((M49*Datos!$B50)/(1+Datos!$C50)/$B$2)-1,IF(ISNUMBER($B$2),"-","INSERTAR COSTO"))</f>
        <v/>
      </c>
      <c r="O49" s="77">
        <f>IF(AND(ISNUMBER(Datos!D50),ISNUMBER($O$3),$O$3&gt;0),$O$3*(1+Datos!D50)/Datos!B50,"-")</f>
        <v/>
      </c>
      <c r="P49" s="76">
        <f>IF(AND(ISNUMBER(O49),ISNUMBER($B$2)),((O49*Datos!$B50)/(1+Datos!$C50)/$B$2)-1,IF(ISNUMBER($B$2),"-","INSERTAR COSTO"))</f>
        <v/>
      </c>
    </row>
    <row r="50" hidden="1" ht="14.5" customHeight="1">
      <c r="A50" s="23">
        <f>Datos!A51</f>
        <v/>
      </c>
      <c r="B50" s="24" t="inlineStr">
        <is>
          <t>9 con int Santander</t>
        </is>
      </c>
      <c r="C50" s="44">
        <f>IF(AND(ISNUMBER(Datos!E51),ISNUMBER($C$3),$C$3&gt;0),$C$3*(1-Datos!E51)/Datos!B51,"-")</f>
        <v/>
      </c>
      <c r="D50" s="8">
        <f>IF(AND(ISNUMBER(C50),ISNUMBER($B$2)),((C50*Datos!$B51)/(1+Datos!$C51)/$B$2)-1,IF(ISNUMBER($B$2),"-","INSERTAR COSTO"))</f>
        <v/>
      </c>
      <c r="E50" s="44">
        <f>IF(AND(ISNUMBER(Datos!F51),ISNUMBER($E$3),$E$3&gt;0),$E$3*(1-Datos!F51)/Datos!B51,"-")</f>
        <v/>
      </c>
      <c r="F50" s="8">
        <f>IF(AND(ISNUMBER(E50),ISNUMBER($B$2)),((E50*Datos!$B51)/(1+Datos!$C51)/$B$2)-1,IF(ISNUMBER($B$2),"-","INSERTAR COSTO"))</f>
        <v/>
      </c>
      <c r="G50" s="44">
        <f>IF(AND(ISNUMBER(Datos!G51),ISNUMBER($G$3),$G$3&gt;0),$G$3*(1-Datos!G51)/Datos!B51,"-")</f>
        <v/>
      </c>
      <c r="H50" s="8">
        <f>IF(AND(ISNUMBER(G50),ISNUMBER($B$2)),((G50*Datos!$B51)/(1+Datos!$C51)/$B$2)-1,IF(ISNUMBER($B$2),"-","INSERTAR COSTO"))</f>
        <v/>
      </c>
      <c r="I50" s="7">
        <f>IF(AND(ISNUMBER(Datos!H51),ISNUMBER($I$3),$I$3&gt;0),$I$3*(1-Datos!H51)/Datos!B51,"-")</f>
        <v/>
      </c>
      <c r="J50" s="8">
        <f>IF(AND(ISNUMBER(I50),ISNUMBER($B$2)),((I50*Datos!$B51)/(1+Datos!$C51)/$B$2)-1,IF(ISNUMBER($B$2),"-","INSERTAR COSTO"))</f>
        <v/>
      </c>
      <c r="K50" s="44">
        <f>IF(AND(ISNUMBER(Datos!I51),ISNUMBER($K$3),$K$3&gt;0),$K$3*(1-Datos!I51)/Datos!B51,"-")</f>
        <v/>
      </c>
      <c r="L50" s="8">
        <f>IF(AND(ISNUMBER(K50),ISNUMBER($B$2)),((K50*Datos!$B51)/(1+Datos!$C51)/$B$2)-1,IF(ISNUMBER($B$2),"-","INSERTAR COSTO"))</f>
        <v/>
      </c>
      <c r="M50" s="7">
        <f>IF(AND(ISNUMBER(Datos!L51),ISNUMBER($I$3),$I$3&gt;0),$I$3*(1-Datos!L51)/Datos!F51,"-")</f>
        <v/>
      </c>
      <c r="N50" s="73">
        <f>IF(AND(ISNUMBER(M50),ISNUMBER($B$2)),((M50*Datos!$B51)/(1+Datos!$C51)/$B$2)-1,IF(ISNUMBER($B$2),"-","INSERTAR COSTO"))</f>
        <v/>
      </c>
      <c r="O50" s="77">
        <f>IF(AND(ISNUMBER(Datos!D51),ISNUMBER($O$3),$O$3&gt;0),$O$3*(1+Datos!D51)/Datos!B51,"-")</f>
        <v/>
      </c>
      <c r="P50" s="76">
        <f>IF(AND(ISNUMBER(O50),ISNUMBER($B$2)),((O50*Datos!$B51)/(1+Datos!$C51)/$B$2)-1,IF(ISNUMBER($B$2),"-","INSERTAR COSTO"))</f>
        <v/>
      </c>
    </row>
    <row r="51" hidden="1" ht="14.5" customHeight="1">
      <c r="A51" s="23">
        <f>Datos!A52</f>
        <v/>
      </c>
      <c r="B51" s="24" t="inlineStr">
        <is>
          <t>12 sin int Santander</t>
        </is>
      </c>
      <c r="C51" s="44">
        <f>IF(AND(ISNUMBER(Datos!E52),ISNUMBER($C$3),$C$3&gt;0),$C$3*(1-Datos!E52)/Datos!B52,"-")</f>
        <v/>
      </c>
      <c r="D51" s="8">
        <f>IF(AND(ISNUMBER(C51),ISNUMBER($B$2)),((C51*Datos!$B52)/(1+Datos!$C52)/$B$2)-1,IF(ISNUMBER($B$2),"-","INSERTAR COSTO"))</f>
        <v/>
      </c>
      <c r="E51" s="44">
        <f>IF(AND(ISNUMBER(Datos!F52),ISNUMBER($E$3),$E$3&gt;0),$E$3*(1-Datos!F52)/Datos!B52,"-")</f>
        <v/>
      </c>
      <c r="F51" s="8">
        <f>IF(AND(ISNUMBER(E51),ISNUMBER($B$2)),((E51*Datos!$B52)/(1+Datos!$C52)/$B$2)-1,IF(ISNUMBER($B$2),"-","INSERTAR COSTO"))</f>
        <v/>
      </c>
      <c r="G51" s="44">
        <f>IF(AND(ISNUMBER(Datos!G52),ISNUMBER($G$3),$G$3&gt;0),$G$3*(1-Datos!G52)/Datos!B52,"-")</f>
        <v/>
      </c>
      <c r="H51" s="8">
        <f>IF(AND(ISNUMBER(G51),ISNUMBER($B$2)),((G51*Datos!$B52)/(1+Datos!$C52)/$B$2)-1,IF(ISNUMBER($B$2),"-","INSERTAR COSTO"))</f>
        <v/>
      </c>
      <c r="I51" s="7">
        <f>IF(AND(ISNUMBER(Datos!H52),ISNUMBER($I$3),$I$3&gt;0),$I$3*(1-Datos!H52)/Datos!B52,"-")</f>
        <v/>
      </c>
      <c r="J51" s="8">
        <f>IF(AND(ISNUMBER(I51),ISNUMBER($B$2)),((I51*Datos!$B52)/(1+Datos!$C52)/$B$2)-1,IF(ISNUMBER($B$2),"-","INSERTAR COSTO"))</f>
        <v/>
      </c>
      <c r="K51" s="44">
        <f>IF(AND(ISNUMBER(Datos!I52),ISNUMBER($K$3),$K$3&gt;0),$K$3*(1-Datos!I52)/Datos!B52,"-")</f>
        <v/>
      </c>
      <c r="L51" s="8">
        <f>IF(AND(ISNUMBER(K51),ISNUMBER($B$2)),((K51*Datos!$B52)/(1+Datos!$C52)/$B$2)-1,IF(ISNUMBER($B$2),"-","INSERTAR COSTO"))</f>
        <v/>
      </c>
      <c r="M51" s="7">
        <f>IF(AND(ISNUMBER(Datos!L52),ISNUMBER($I$3),$I$3&gt;0),$I$3*(1-Datos!L52)/Datos!F52,"-")</f>
        <v/>
      </c>
      <c r="N51" s="73">
        <f>IF(AND(ISNUMBER(M51),ISNUMBER($B$2)),((M51*Datos!$B52)/(1+Datos!$C52)/$B$2)-1,IF(ISNUMBER($B$2),"-","INSERTAR COSTO"))</f>
        <v/>
      </c>
      <c r="O51" s="77">
        <f>IF(AND(ISNUMBER(Datos!D52),ISNUMBER($O$3),$O$3&gt;0),$O$3*(1+Datos!D52)/Datos!B52,"-")</f>
        <v/>
      </c>
      <c r="P51" s="76">
        <f>IF(AND(ISNUMBER(O51),ISNUMBER($B$2)),((O51*Datos!$B52)/(1+Datos!$C52)/$B$2)-1,IF(ISNUMBER($B$2),"-","INSERTAR COSTO"))</f>
        <v/>
      </c>
    </row>
    <row r="52" hidden="1" ht="14.5" customHeight="1">
      <c r="A52" s="23">
        <f>Datos!A53</f>
        <v/>
      </c>
      <c r="B52" s="24" t="inlineStr">
        <is>
          <t>12 con int Santander</t>
        </is>
      </c>
      <c r="C52" s="44">
        <f>IF(AND(ISNUMBER(Datos!E53),ISNUMBER($C$3),$C$3&gt;0),$C$3*(1-Datos!E53)/Datos!B53,"-")</f>
        <v/>
      </c>
      <c r="D52" s="8">
        <f>IF(AND(ISNUMBER(C52),ISNUMBER($B$2)),((C52*Datos!$B53)/(1+Datos!$C53)/$B$2)-1,IF(ISNUMBER($B$2),"-","INSERTAR COSTO"))</f>
        <v/>
      </c>
      <c r="E52" s="44">
        <f>IF(AND(ISNUMBER(Datos!F53),ISNUMBER($E$3),$E$3&gt;0),$E$3*(1-Datos!F53)/Datos!B53,"-")</f>
        <v/>
      </c>
      <c r="F52" s="8">
        <f>IF(AND(ISNUMBER(E52),ISNUMBER($B$2)),((E52*Datos!$B53)/(1+Datos!$C53)/$B$2)-1,IF(ISNUMBER($B$2),"-","INSERTAR COSTO"))</f>
        <v/>
      </c>
      <c r="G52" s="44">
        <f>IF(AND(ISNUMBER(Datos!G53),ISNUMBER($G$3),$G$3&gt;0),$G$3*(1-Datos!G53)/Datos!B53,"-")</f>
        <v/>
      </c>
      <c r="H52" s="8">
        <f>IF(AND(ISNUMBER(G52),ISNUMBER($B$2)),((G52*Datos!$B53)/(1+Datos!$C53)/$B$2)-1,IF(ISNUMBER($B$2),"-","INSERTAR COSTO"))</f>
        <v/>
      </c>
      <c r="I52" s="7">
        <f>IF(AND(ISNUMBER(Datos!H53),ISNUMBER($I$3),$I$3&gt;0),$I$3*(1-Datos!H53)/Datos!B53,"-")</f>
        <v/>
      </c>
      <c r="J52" s="8">
        <f>IF(AND(ISNUMBER(I52),ISNUMBER($B$2)),((I52*Datos!$B53)/(1+Datos!$C53)/$B$2)-1,IF(ISNUMBER($B$2),"-","INSERTAR COSTO"))</f>
        <v/>
      </c>
      <c r="K52" s="44">
        <f>IF(AND(ISNUMBER(Datos!I53),ISNUMBER($K$3),$K$3&gt;0),$K$3*(1-Datos!I53)/Datos!B53,"-")</f>
        <v/>
      </c>
      <c r="L52" s="8">
        <f>IF(AND(ISNUMBER(K52),ISNUMBER($B$2)),((K52*Datos!$B53)/(1+Datos!$C53)/$B$2)-1,IF(ISNUMBER($B$2),"-","INSERTAR COSTO"))</f>
        <v/>
      </c>
      <c r="M52" s="7">
        <f>IF(AND(ISNUMBER(Datos!L53),ISNUMBER($I$3),$I$3&gt;0),$I$3*(1-Datos!L53)/Datos!F53,"-")</f>
        <v/>
      </c>
      <c r="N52" s="73">
        <f>IF(AND(ISNUMBER(M52),ISNUMBER($B$2)),((M52*Datos!$B53)/(1+Datos!$C53)/$B$2)-1,IF(ISNUMBER($B$2),"-","INSERTAR COSTO"))</f>
        <v/>
      </c>
      <c r="O52" s="77">
        <f>IF(AND(ISNUMBER(Datos!D53),ISNUMBER($O$3),$O$3&gt;0),$O$3*(1+Datos!D53)/Datos!B53,"-")</f>
        <v/>
      </c>
      <c r="P52" s="76">
        <f>IF(AND(ISNUMBER(O52),ISNUMBER($B$2)),((O52*Datos!$B53)/(1+Datos!$C53)/$B$2)-1,IF(ISNUMBER($B$2),"-","INSERTAR COSTO"))</f>
        <v/>
      </c>
    </row>
    <row r="53" ht="14.5" customHeight="1">
      <c r="A53" s="25">
        <f>Datos!A54</f>
        <v/>
      </c>
      <c r="B53" s="26" t="inlineStr">
        <is>
          <t>Crédito</t>
        </is>
      </c>
      <c r="C53" s="44">
        <f>IF(AND(ISNUMBER(Datos!E54),ISNUMBER($C$3),$C$3&gt;0),$C$3*(1-Datos!E54)/Datos!B54,"-")</f>
        <v/>
      </c>
      <c r="D53" s="8">
        <f>IF(AND(ISNUMBER(C53),ISNUMBER($B$2)),((C53*Datos!$B54)/(1+Datos!$C54)/$B$2)-1,IF(ISNUMBER($B$2),"-","INSERTAR COSTO"))</f>
        <v/>
      </c>
      <c r="E53" s="44">
        <f>IF(AND(ISNUMBER(Datos!F54),ISNUMBER($E$3),$E$3&gt;0),$E$3*(1-Datos!F54)/Datos!B54,"-")</f>
        <v/>
      </c>
      <c r="F53" s="8">
        <f>IF(AND(ISNUMBER(E53),ISNUMBER($B$2)),((E53*Datos!$B54)/(1+Datos!$C54)/$B$2)-1,IF(ISNUMBER($B$2),"-","INSERTAR COSTO"))</f>
        <v/>
      </c>
      <c r="G53" s="44">
        <f>IF(AND(ISNUMBER(Datos!G54),ISNUMBER($G$3),$G$3&gt;0),$G$3*(1-Datos!G54)/Datos!B54,"-")</f>
        <v/>
      </c>
      <c r="H53" s="8">
        <f>IF(AND(ISNUMBER(G53),ISNUMBER($B$2)),((G53*Datos!$B54)/(1+Datos!$C54)/$B$2)-1,IF(ISNUMBER($B$2),"-","INSERTAR COSTO"))</f>
        <v/>
      </c>
      <c r="I53" s="7">
        <f>IF(AND(ISNUMBER(Datos!H54),ISNUMBER($I$3),$I$3&gt;0),$I$3*(1-Datos!H54)/Datos!B54,"-")</f>
        <v/>
      </c>
      <c r="J53" s="8">
        <f>IF(AND(ISNUMBER(I53),ISNUMBER($B$2)),((I53*Datos!$B54)/(1+Datos!$C54)/$B$2)-1,IF(ISNUMBER($B$2),"-","INSERTAR COSTO"))</f>
        <v/>
      </c>
      <c r="K53" s="44">
        <f>IF(AND(ISNUMBER(Datos!I54),ISNUMBER($K$3),$K$3&gt;0),$K$3*(1-Datos!I54)/Datos!B54,"-")</f>
        <v/>
      </c>
      <c r="L53" s="8">
        <f>IF(AND(ISNUMBER(K53),ISNUMBER($B$2)),((K53*Datos!$B54)/(1+Datos!$C54)/$B$2)-1,IF(ISNUMBER($B$2),"-","INSERTAR COSTO"))</f>
        <v/>
      </c>
      <c r="M53" s="7">
        <f>IF(AND(ISNUMBER(Datos!L54),ISNUMBER($I$3),$I$3&gt;0),$I$3*(1-Datos!L54)/Datos!F54,"-")</f>
        <v/>
      </c>
      <c r="N53" s="73">
        <f>IF(AND(ISNUMBER(M53),ISNUMBER($B$2)),((M53*Datos!$B54)/(1+Datos!$C54)/$B$2)-1,IF(ISNUMBER($B$2),"-","INSERTAR COSTO"))</f>
        <v/>
      </c>
      <c r="O53" s="77">
        <f>IF(AND(ISNUMBER(Datos!D54),ISNUMBER($O$3),$O$3&gt;0),$O$3*(1+Datos!D54)/Datos!B54,"-")</f>
        <v/>
      </c>
      <c r="P53" s="76">
        <f>IF(AND(ISNUMBER(O53),ISNUMBER($B$2)),((O53*Datos!$B54)/(1+Datos!$C54)/$B$2)-1,IF(ISNUMBER($B$2),"-","INSERTAR COSTO"))</f>
        <v/>
      </c>
    </row>
    <row r="54" ht="14.5" customHeight="1">
      <c r="A54" s="25">
        <f>Datos!A55</f>
        <v/>
      </c>
      <c r="B54" s="26" t="inlineStr">
        <is>
          <t>Plan Fácil 3</t>
        </is>
      </c>
      <c r="C54" s="44">
        <f>IF(AND(ISNUMBER(Datos!E55),ISNUMBER($C$3),$C$3&gt;0),$C$3*(1-Datos!E55)/Datos!B55,"-")</f>
        <v/>
      </c>
      <c r="D54" s="8">
        <f>IF(AND(ISNUMBER(C54),ISNUMBER($B$2)),((C54*Datos!$B55)/(1+Datos!$C55)/$B$2)-1,IF(ISNUMBER($B$2),"-","INSERTAR COSTO"))</f>
        <v/>
      </c>
      <c r="E54" s="44">
        <f>IF(AND(ISNUMBER(Datos!F55),ISNUMBER($E$3),$E$3&gt;0),$E$3*(1-Datos!F55)/Datos!B55,"-")</f>
        <v/>
      </c>
      <c r="F54" s="8">
        <f>IF(AND(ISNUMBER(E54),ISNUMBER($B$2)),((E54*Datos!$B55)/(1+Datos!$C55)/$B$2)-1,IF(ISNUMBER($B$2),"-","INSERTAR COSTO"))</f>
        <v/>
      </c>
      <c r="G54" s="44">
        <f>IF(AND(ISNUMBER(Datos!G55),ISNUMBER($G$3),$G$3&gt;0),$G$3*(1-Datos!G55)/Datos!B55,"-")</f>
        <v/>
      </c>
      <c r="H54" s="8">
        <f>IF(AND(ISNUMBER(G54),ISNUMBER($B$2)),((G54*Datos!$B55)/(1+Datos!$C55)/$B$2)-1,IF(ISNUMBER($B$2),"-","INSERTAR COSTO"))</f>
        <v/>
      </c>
      <c r="I54" s="7">
        <f>IF(AND(ISNUMBER(Datos!H55),ISNUMBER($I$3),$I$3&gt;0),$I$3*(1-Datos!H55)/Datos!B55,"-")</f>
        <v/>
      </c>
      <c r="J54" s="8">
        <f>IF(AND(ISNUMBER(I54),ISNUMBER($B$2)),((I54*Datos!$B55)/(1+Datos!$C55)/$B$2)-1,IF(ISNUMBER($B$2),"-","INSERTAR COSTO"))</f>
        <v/>
      </c>
      <c r="K54" s="44">
        <f>IF(AND(ISNUMBER(Datos!I55),ISNUMBER($K$3),$K$3&gt;0),$K$3*(1-Datos!I55)/Datos!B55,"-")</f>
        <v/>
      </c>
      <c r="L54" s="8">
        <f>IF(AND(ISNUMBER(K54),ISNUMBER($B$2)),((K54*Datos!$B55)/(1+Datos!$C55)/$B$2)-1,IF(ISNUMBER($B$2),"-","INSERTAR COSTO"))</f>
        <v/>
      </c>
      <c r="M54" s="7">
        <f>IF(AND(ISNUMBER(Datos!L55),ISNUMBER($I$3),$I$3&gt;0),$I$3*(1-Datos!L55)/Datos!F55,"-")</f>
        <v/>
      </c>
      <c r="N54" s="73">
        <f>IF(AND(ISNUMBER(M54),ISNUMBER($B$2)),((M54*Datos!$B55)/(1+Datos!$C55)/$B$2)-1,IF(ISNUMBER($B$2),"-","INSERTAR COSTO"))</f>
        <v/>
      </c>
      <c r="O54" s="77">
        <f>IF(AND(ISNUMBER(Datos!D55),ISNUMBER($O$3),$O$3&gt;0),$O$3*(1+Datos!D55)/Datos!B55,"-")</f>
        <v/>
      </c>
      <c r="P54" s="76">
        <f>IF(AND(ISNUMBER(O54),ISNUMBER($B$2)),((O54*Datos!$B55)/(1+Datos!$C55)/$B$2)-1,IF(ISNUMBER($B$2),"-","INSERTAR COSTO"))</f>
        <v/>
      </c>
    </row>
    <row r="55" ht="14.5" customHeight="1">
      <c r="A55" s="25">
        <f>Datos!A56</f>
        <v/>
      </c>
      <c r="B55" s="26" t="inlineStr">
        <is>
          <t>Plan Fácil 6</t>
        </is>
      </c>
      <c r="C55" s="44">
        <f>IF(AND(ISNUMBER(Datos!E56),ISNUMBER($C$3),$C$3&gt;0),$C$3*(1-Datos!E56)/Datos!B56,"-")</f>
        <v/>
      </c>
      <c r="D55" s="8">
        <f>IF(AND(ISNUMBER(C55),ISNUMBER($B$2)),((C55*Datos!$B56)/(1+Datos!$C56)/$B$2)-1,IF(ISNUMBER($B$2),"-","INSERTAR COSTO"))</f>
        <v/>
      </c>
      <c r="E55" s="44">
        <f>IF(AND(ISNUMBER(Datos!F56),ISNUMBER($E$3),$E$3&gt;0),$E$3*(1-Datos!F56)/Datos!B56,"-")</f>
        <v/>
      </c>
      <c r="F55" s="8">
        <f>IF(AND(ISNUMBER(E55),ISNUMBER($B$2)),((E55*Datos!$B56)/(1+Datos!$C56)/$B$2)-1,IF(ISNUMBER($B$2),"-","INSERTAR COSTO"))</f>
        <v/>
      </c>
      <c r="G55" s="44">
        <f>IF(AND(ISNUMBER(Datos!G56),ISNUMBER($G$3),$G$3&gt;0),$G$3*(1-Datos!G56)/Datos!B56,"-")</f>
        <v/>
      </c>
      <c r="H55" s="8">
        <f>IF(AND(ISNUMBER(G55),ISNUMBER($B$2)),((G55*Datos!$B56)/(1+Datos!$C56)/$B$2)-1,IF(ISNUMBER($B$2),"-","INSERTAR COSTO"))</f>
        <v/>
      </c>
      <c r="I55" s="7">
        <f>IF(AND(ISNUMBER(Datos!H56),ISNUMBER($I$3),$I$3&gt;0),$I$3*(1-Datos!H56)/Datos!B56,"-")</f>
        <v/>
      </c>
      <c r="J55" s="8">
        <f>IF(AND(ISNUMBER(I55),ISNUMBER($B$2)),((I55*Datos!$B56)/(1+Datos!$C56)/$B$2)-1,IF(ISNUMBER($B$2),"-","INSERTAR COSTO"))</f>
        <v/>
      </c>
      <c r="K55" s="44">
        <f>IF(AND(ISNUMBER(Datos!I56),ISNUMBER($K$3),$K$3&gt;0),$K$3*(1-Datos!I56)/Datos!B56,"-")</f>
        <v/>
      </c>
      <c r="L55" s="8">
        <f>IF(AND(ISNUMBER(K55),ISNUMBER($B$2)),((K55*Datos!$B56)/(1+Datos!$C56)/$B$2)-1,IF(ISNUMBER($B$2),"-","INSERTAR COSTO"))</f>
        <v/>
      </c>
      <c r="M55" s="7">
        <f>IF(AND(ISNUMBER(Datos!L56),ISNUMBER($I$3),$I$3&gt;0),$I$3*(1-Datos!L56)/Datos!F56,"-")</f>
        <v/>
      </c>
      <c r="N55" s="73">
        <f>IF(AND(ISNUMBER(M55),ISNUMBER($B$2)),((M55*Datos!$B56)/(1+Datos!$C56)/$B$2)-1,IF(ISNUMBER($B$2),"-","INSERTAR COSTO"))</f>
        <v/>
      </c>
      <c r="O55" s="77">
        <f>IF(AND(ISNUMBER(Datos!D56),ISNUMBER($O$3),$O$3&gt;0),$O$3*(1+Datos!D56)/Datos!B56,"-")</f>
        <v/>
      </c>
      <c r="P55" s="76">
        <f>IF(AND(ISNUMBER(O55),ISNUMBER($B$2)),((O55*Datos!$B56)/(1+Datos!$C56)/$B$2)-1,IF(ISNUMBER($B$2),"-","INSERTAR COSTO"))</f>
        <v/>
      </c>
    </row>
    <row r="56" ht="14.5" customHeight="1">
      <c r="A56" s="27">
        <f>Datos!A57</f>
        <v/>
      </c>
      <c r="B56" s="28" t="inlineStr">
        <is>
          <t>Crédito</t>
        </is>
      </c>
      <c r="C56" s="44">
        <f>IF(AND(ISNUMBER(Datos!E57),ISNUMBER($C$3),$C$3&gt;0),$C$3*(1-Datos!E57)/Datos!B57,"-")</f>
        <v/>
      </c>
      <c r="D56" s="8">
        <f>IF(AND(ISNUMBER(C56),ISNUMBER($B$2)),((C56*Datos!$B57)/(1+Datos!$C57)/$B$2)-1,IF(ISNUMBER($B$2),"-","INSERTAR COSTO"))</f>
        <v/>
      </c>
      <c r="E56" s="44">
        <f>IF(AND(ISNUMBER(Datos!F57),ISNUMBER($E$3),$E$3&gt;0),$E$3*(1-Datos!F57)/Datos!B57,"-")</f>
        <v/>
      </c>
      <c r="F56" s="8">
        <f>IF(AND(ISNUMBER(E56),ISNUMBER($B$2)),((E56*Datos!$B57)/(1+Datos!$C57)/$B$2)-1,IF(ISNUMBER($B$2),"-","INSERTAR COSTO"))</f>
        <v/>
      </c>
      <c r="G56" s="44">
        <f>IF(AND(ISNUMBER(Datos!G57),ISNUMBER($G$3),$G$3&gt;0),$G$3*(1-Datos!G57)/Datos!B57,"-")</f>
        <v/>
      </c>
      <c r="H56" s="8">
        <f>IF(AND(ISNUMBER(G56),ISNUMBER($B$2)),((G56*Datos!$B57)/(1+Datos!$C57)/$B$2)-1,IF(ISNUMBER($B$2),"-","INSERTAR COSTO"))</f>
        <v/>
      </c>
      <c r="I56" s="7">
        <f>IF(AND(ISNUMBER(Datos!H57),ISNUMBER($I$3),$I$3&gt;0),$I$3*(1-Datos!H57)/Datos!B57,"-")</f>
        <v/>
      </c>
      <c r="J56" s="8">
        <f>IF(AND(ISNUMBER(I56),ISNUMBER($B$2)),((I56*Datos!$B57)/(1+Datos!$C57)/$B$2)-1,IF(ISNUMBER($B$2),"-","INSERTAR COSTO"))</f>
        <v/>
      </c>
      <c r="K56" s="44">
        <f>IF(AND(ISNUMBER(Datos!I57),ISNUMBER($K$3),$K$3&gt;0),$K$3*(1-Datos!I57)/Datos!B57,"-")</f>
        <v/>
      </c>
      <c r="L56" s="8">
        <f>IF(AND(ISNUMBER(K56),ISNUMBER($B$2)),((K56*Datos!$B57)/(1+Datos!$C57)/$B$2)-1,IF(ISNUMBER($B$2),"-","INSERTAR COSTO"))</f>
        <v/>
      </c>
      <c r="M56" s="7">
        <f>IF(AND(ISNUMBER(Datos!L57),ISNUMBER($I$3),$I$3&gt;0),$I$3*(1-Datos!L57)/Datos!F57,"-")</f>
        <v/>
      </c>
      <c r="N56" s="73">
        <f>IF(AND(ISNUMBER(M56),ISNUMBER($B$2)),((M56*Datos!$B57)/(1+Datos!$C57)/$B$2)-1,IF(ISNUMBER($B$2),"-","INSERTAR COSTO"))</f>
        <v/>
      </c>
      <c r="O56" s="77">
        <f>IF(AND(ISNUMBER(Datos!D57),ISNUMBER($O$3),$O$3&gt;0),$O$3*(1+Datos!D57)/Datos!B57,"-")</f>
        <v/>
      </c>
      <c r="P56" s="76">
        <f>IF(AND(ISNUMBER(O56),ISNUMBER($B$2)),((O56*Datos!$B57)/(1+Datos!$C57)/$B$2)-1,IF(ISNUMBER($B$2),"-","INSERTAR COSTO"))</f>
        <v/>
      </c>
    </row>
    <row r="57" ht="14.5" customHeight="1">
      <c r="A57" s="27">
        <f>Datos!A58</f>
        <v/>
      </c>
      <c r="B57" s="28" t="inlineStr">
        <is>
          <t>3 sin interés</t>
        </is>
      </c>
      <c r="C57" s="44">
        <f>IF(AND(ISNUMBER(Datos!E58),ISNUMBER($C$3),$C$3&gt;0),$C$3*(1-Datos!E58)/Datos!B58,"-")</f>
        <v/>
      </c>
      <c r="D57" s="8">
        <f>IF(AND(ISNUMBER(C57),ISNUMBER($B$2)),((C57*Datos!$B58)/(1+Datos!$C58)/$B$2)-1,IF(ISNUMBER($B$2),"-","INSERTAR COSTO"))</f>
        <v/>
      </c>
      <c r="E57" s="44">
        <f>IF(AND(ISNUMBER(Datos!F58),ISNUMBER($E$3),$E$3&gt;0),$E$3*(1-Datos!F58)/Datos!B58,"-")</f>
        <v/>
      </c>
      <c r="F57" s="8">
        <f>IF(AND(ISNUMBER(E57),ISNUMBER($B$2)),((E57*Datos!$B58)/(1+Datos!$C58)/$B$2)-1,IF(ISNUMBER($B$2),"-","INSERTAR COSTO"))</f>
        <v/>
      </c>
      <c r="G57" s="44">
        <f>IF(AND(ISNUMBER(Datos!G58),ISNUMBER($G$3),$G$3&gt;0),$G$3*(1-Datos!G58)/Datos!B58,"-")</f>
        <v/>
      </c>
      <c r="H57" s="8">
        <f>IF(AND(ISNUMBER(G57),ISNUMBER($B$2)),((G57*Datos!$B58)/(1+Datos!$C58)/$B$2)-1,IF(ISNUMBER($B$2),"-","INSERTAR COSTO"))</f>
        <v/>
      </c>
      <c r="I57" s="7">
        <f>IF(AND(ISNUMBER(Datos!H58),ISNUMBER($I$3),$I$3&gt;0),$I$3*(1-Datos!H58)/Datos!B58,"-")</f>
        <v/>
      </c>
      <c r="J57" s="8">
        <f>IF(AND(ISNUMBER(I57),ISNUMBER($B$2)),((I57*Datos!$B58)/(1+Datos!$C58)/$B$2)-1,IF(ISNUMBER($B$2),"-","INSERTAR COSTO"))</f>
        <v/>
      </c>
      <c r="K57" s="44">
        <f>IF(AND(ISNUMBER(Datos!I58),ISNUMBER($K$3),$K$3&gt;0),$K$3*(1-Datos!I58)/Datos!B58,"-")</f>
        <v/>
      </c>
      <c r="L57" s="8">
        <f>IF(AND(ISNUMBER(K57),ISNUMBER($B$2)),((K57*Datos!$B58)/(1+Datos!$C58)/$B$2)-1,IF(ISNUMBER($B$2),"-","INSERTAR COSTO"))</f>
        <v/>
      </c>
      <c r="M57" s="7">
        <f>IF(AND(ISNUMBER(Datos!L58),ISNUMBER($I$3),$I$3&gt;0),$I$3*(1-Datos!L58)/Datos!F58,"-")</f>
        <v/>
      </c>
      <c r="N57" s="73">
        <f>IF(AND(ISNUMBER(M57),ISNUMBER($B$2)),((M57*Datos!$B58)/(1+Datos!$C58)/$B$2)-1,IF(ISNUMBER($B$2),"-","INSERTAR COSTO"))</f>
        <v/>
      </c>
      <c r="O57" s="77">
        <f>IF(AND(ISNUMBER(Datos!D58),ISNUMBER($O$3),$O$3&gt;0),$O$3*(1+Datos!D58)/Datos!B58,"-")</f>
        <v/>
      </c>
      <c r="P57" s="76">
        <f>IF(AND(ISNUMBER(O57),ISNUMBER($B$2)),((O57*Datos!$B58)/(1+Datos!$C58)/$B$2)-1,IF(ISNUMBER($B$2),"-","INSERTAR COSTO"))</f>
        <v/>
      </c>
    </row>
    <row r="58" ht="14.5" customHeight="1">
      <c r="A58" s="27">
        <f>Datos!A59</f>
        <v/>
      </c>
      <c r="B58" s="28" t="inlineStr">
        <is>
          <t>6 sin interés</t>
        </is>
      </c>
      <c r="C58" s="44">
        <f>IF(AND(ISNUMBER(Datos!E59),ISNUMBER($C$3),$C$3&gt;0),$C$3*(1-Datos!E59)/Datos!B59,"-")</f>
        <v/>
      </c>
      <c r="D58" s="8">
        <f>IF(AND(ISNUMBER(C58),ISNUMBER($B$2)),((C58*Datos!$B59)/(1+Datos!$C59)/$B$2)-1,IF(ISNUMBER($B$2),"-","INSERTAR COSTO"))</f>
        <v/>
      </c>
      <c r="E58" s="44">
        <f>IF(AND(ISNUMBER(Datos!F59),ISNUMBER($E$3),$E$3&gt;0),$E$3*(1-Datos!F59)/Datos!B59,"-")</f>
        <v/>
      </c>
      <c r="F58" s="8">
        <f>IF(AND(ISNUMBER(E58),ISNUMBER($B$2)),((E58*Datos!$B59)/(1+Datos!$C59)/$B$2)-1,IF(ISNUMBER($B$2),"-","INSERTAR COSTO"))</f>
        <v/>
      </c>
      <c r="G58" s="44">
        <f>IF(AND(ISNUMBER(Datos!G59),ISNUMBER($G$3),$G$3&gt;0),$G$3*(1-Datos!G59)/Datos!B59,"-")</f>
        <v/>
      </c>
      <c r="H58" s="8">
        <f>IF(AND(ISNUMBER(G58),ISNUMBER($B$2)),((G58*Datos!$B59)/(1+Datos!$C59)/$B$2)-1,IF(ISNUMBER($B$2),"-","INSERTAR COSTO"))</f>
        <v/>
      </c>
      <c r="I58" s="7">
        <f>IF(AND(ISNUMBER(Datos!H59),ISNUMBER($I$3),$I$3&gt;0),$I$3*(1-Datos!H59)/Datos!B59,"-")</f>
        <v/>
      </c>
      <c r="J58" s="8">
        <f>IF(AND(ISNUMBER(I58),ISNUMBER($B$2)),((I58*Datos!$B59)/(1+Datos!$C59)/$B$2)-1,IF(ISNUMBER($B$2),"-","INSERTAR COSTO"))</f>
        <v/>
      </c>
      <c r="K58" s="44">
        <f>IF(AND(ISNUMBER(Datos!I59),ISNUMBER($K$3),$K$3&gt;0),$K$3*(1-Datos!I59)/Datos!B59,"-")</f>
        <v/>
      </c>
      <c r="L58" s="8">
        <f>IF(AND(ISNUMBER(K58),ISNUMBER($B$2)),((K58*Datos!$B59)/(1+Datos!$C59)/$B$2)-1,IF(ISNUMBER($B$2),"-","INSERTAR COSTO"))</f>
        <v/>
      </c>
      <c r="M58" s="7">
        <f>IF(AND(ISNUMBER(Datos!L59),ISNUMBER($I$3),$I$3&gt;0),$I$3*(1-Datos!L59)/Datos!F59,"-")</f>
        <v/>
      </c>
      <c r="N58" s="73">
        <f>IF(AND(ISNUMBER(M58),ISNUMBER($B$2)),((M58*Datos!$B59)/(1+Datos!$C59)/$B$2)-1,IF(ISNUMBER($B$2),"-","INSERTAR COSTO"))</f>
        <v/>
      </c>
      <c r="O58" s="77">
        <f>IF(AND(ISNUMBER(Datos!D59),ISNUMBER($O$3),$O$3&gt;0),$O$3*(1+Datos!D59)/Datos!B59,"-")</f>
        <v/>
      </c>
      <c r="P58" s="76">
        <f>IF(AND(ISNUMBER(O58),ISNUMBER($B$2)),((O58*Datos!$B59)/(1+Datos!$C59)/$B$2)-1,IF(ISNUMBER($B$2),"-","INSERTAR COSTO"))</f>
        <v/>
      </c>
    </row>
    <row r="59" ht="14.5" customHeight="1">
      <c r="A59" s="27">
        <f>Datos!A60</f>
        <v/>
      </c>
      <c r="B59" s="28" t="inlineStr">
        <is>
          <t>9 sin interés</t>
        </is>
      </c>
      <c r="C59" s="44">
        <f>IF(AND(ISNUMBER(Datos!E60),ISNUMBER($C$3),$C$3&gt;0),$C$3*(1-Datos!E60)/Datos!B60,"-")</f>
        <v/>
      </c>
      <c r="D59" s="8">
        <f>IF(AND(ISNUMBER(C59),ISNUMBER($B$2)),((C59*Datos!$B60)/(1+Datos!$C60)/$B$2)-1,IF(ISNUMBER($B$2),"-","INSERTAR COSTO"))</f>
        <v/>
      </c>
      <c r="E59" s="44">
        <f>IF(AND(ISNUMBER(Datos!F60),ISNUMBER($E$3),$E$3&gt;0),$E$3*(1-Datos!F60)/Datos!B60,"-")</f>
        <v/>
      </c>
      <c r="F59" s="8">
        <f>IF(AND(ISNUMBER(E59),ISNUMBER($B$2)),((E59*Datos!$B60)/(1+Datos!$C60)/$B$2)-1,IF(ISNUMBER($B$2),"-","INSERTAR COSTO"))</f>
        <v/>
      </c>
      <c r="G59" s="44">
        <f>IF(AND(ISNUMBER(Datos!G60),ISNUMBER($G$3),$G$3&gt;0),$G$3*(1-Datos!G60)/Datos!B60,"-")</f>
        <v/>
      </c>
      <c r="H59" s="8">
        <f>IF(AND(ISNUMBER(G59),ISNUMBER($B$2)),((G59*Datos!$B60)/(1+Datos!$C60)/$B$2)-1,IF(ISNUMBER($B$2),"-","INSERTAR COSTO"))</f>
        <v/>
      </c>
      <c r="I59" s="7">
        <f>IF(AND(ISNUMBER(Datos!H60),ISNUMBER($I$3),$I$3&gt;0),$I$3*(1-Datos!H60)/Datos!B60,"-")</f>
        <v/>
      </c>
      <c r="J59" s="8">
        <f>IF(AND(ISNUMBER(I59),ISNUMBER($B$2)),((I59*Datos!$B60)/(1+Datos!$C60)/$B$2)-1,IF(ISNUMBER($B$2),"-","INSERTAR COSTO"))</f>
        <v/>
      </c>
      <c r="K59" s="44">
        <f>IF(AND(ISNUMBER(Datos!I60),ISNUMBER($K$3),$K$3&gt;0),$K$3*(1-Datos!I60)/Datos!B60,"-")</f>
        <v/>
      </c>
      <c r="L59" s="8">
        <f>IF(AND(ISNUMBER(K59),ISNUMBER($B$2)),((K59*Datos!$B60)/(1+Datos!$C60)/$B$2)-1,IF(ISNUMBER($B$2),"-","INSERTAR COSTO"))</f>
        <v/>
      </c>
      <c r="M59" s="7">
        <f>IF(AND(ISNUMBER(Datos!L60),ISNUMBER($I$3),$I$3&gt;0),$I$3*(1-Datos!L60)/Datos!F60,"-")</f>
        <v/>
      </c>
      <c r="N59" s="73">
        <f>IF(AND(ISNUMBER(M59),ISNUMBER($B$2)),((M59*Datos!$B60)/(1+Datos!$C60)/$B$2)-1,IF(ISNUMBER($B$2),"-","INSERTAR COSTO"))</f>
        <v/>
      </c>
      <c r="O59" s="77">
        <f>IF(AND(ISNUMBER(Datos!D60),ISNUMBER($O$3),$O$3&gt;0),$O$3*(1+Datos!D60)/Datos!B60,"-")</f>
        <v/>
      </c>
      <c r="P59" s="76">
        <f>IF(AND(ISNUMBER(O59),ISNUMBER($B$2)),((O59*Datos!$B60)/(1+Datos!$C60)/$B$2)-1,IF(ISNUMBER($B$2),"-","INSERTAR COSTO"))</f>
        <v/>
      </c>
    </row>
    <row r="60" ht="14.5" customHeight="1">
      <c r="A60" s="27">
        <f>Datos!A61</f>
        <v/>
      </c>
      <c r="B60" s="28" t="inlineStr">
        <is>
          <t>9 con interés</t>
        </is>
      </c>
      <c r="C60" s="44">
        <f>IF(AND(ISNUMBER(Datos!E61),ISNUMBER($C$3),$C$3&gt;0),$C$3*(1-Datos!E61)/Datos!B61,"-")</f>
        <v/>
      </c>
      <c r="D60" s="8">
        <f>IF(AND(ISNUMBER(C60),ISNUMBER($B$2)),((C60*Datos!$B61)/(1+Datos!$C61)/$B$2)-1,IF(ISNUMBER($B$2),"-","INSERTAR COSTO"))</f>
        <v/>
      </c>
      <c r="E60" s="44">
        <f>IF(AND(ISNUMBER(Datos!F61),ISNUMBER($E$3),$E$3&gt;0),$E$3*(1-Datos!F61)/Datos!B61,"-")</f>
        <v/>
      </c>
      <c r="F60" s="8">
        <f>IF(AND(ISNUMBER(E60),ISNUMBER($B$2)),((E60*Datos!$B61)/(1+Datos!$C61)/$B$2)-1,IF(ISNUMBER($B$2),"-","INSERTAR COSTO"))</f>
        <v/>
      </c>
      <c r="G60" s="44">
        <f>IF(AND(ISNUMBER(Datos!G61),ISNUMBER($G$3),$G$3&gt;0),$G$3*(1-Datos!G61)/Datos!B61,"-")</f>
        <v/>
      </c>
      <c r="H60" s="8">
        <f>IF(AND(ISNUMBER(G60),ISNUMBER($B$2)),((G60*Datos!$B61)/(1+Datos!$C61)/$B$2)-1,IF(ISNUMBER($B$2),"-","INSERTAR COSTO"))</f>
        <v/>
      </c>
      <c r="I60" s="7">
        <f>IF(AND(ISNUMBER(Datos!H61),ISNUMBER($I$3),$I$3&gt;0),$I$3*(1-Datos!H61)/Datos!B61,"-")</f>
        <v/>
      </c>
      <c r="J60" s="8">
        <f>IF(AND(ISNUMBER(I60),ISNUMBER($B$2)),((I60*Datos!$B61)/(1+Datos!$C61)/$B$2)-1,IF(ISNUMBER($B$2),"-","INSERTAR COSTO"))</f>
        <v/>
      </c>
      <c r="K60" s="44">
        <f>IF(AND(ISNUMBER(Datos!I61),ISNUMBER($K$3),$K$3&gt;0),$K$3*(1-Datos!I61)/Datos!B61,"-")</f>
        <v/>
      </c>
      <c r="L60" s="8">
        <f>IF(AND(ISNUMBER(K60),ISNUMBER($B$2)),((K60*Datos!$B61)/(1+Datos!$C61)/$B$2)-1,IF(ISNUMBER($B$2),"-","INSERTAR COSTO"))</f>
        <v/>
      </c>
      <c r="M60" s="7">
        <f>IF(AND(ISNUMBER(Datos!L61),ISNUMBER($I$3),$I$3&gt;0),$I$3*(1-Datos!L61)/Datos!F61,"-")</f>
        <v/>
      </c>
      <c r="N60" s="73">
        <f>IF(AND(ISNUMBER(M60),ISNUMBER($B$2)),((M60*Datos!$B61)/(1+Datos!$C61)/$B$2)-1,IF(ISNUMBER($B$2),"-","INSERTAR COSTO"))</f>
        <v/>
      </c>
      <c r="O60" s="77">
        <f>IF(AND(ISNUMBER(Datos!D61),ISNUMBER($O$3),$O$3&gt;0),$O$3*(1+Datos!D61)/Datos!B61,"-")</f>
        <v/>
      </c>
      <c r="P60" s="76">
        <f>IF(AND(ISNUMBER(O60),ISNUMBER($B$2)),((O60*Datos!$B61)/(1+Datos!$C61)/$B$2)-1,IF(ISNUMBER($B$2),"-","INSERTAR COSTO"))</f>
        <v/>
      </c>
    </row>
    <row r="61" ht="14.5" customHeight="1">
      <c r="A61" s="27">
        <f>Datos!A62</f>
        <v/>
      </c>
      <c r="B61" s="28" t="inlineStr">
        <is>
          <t>12 sin interés</t>
        </is>
      </c>
      <c r="C61" s="44">
        <f>IF(AND(ISNUMBER(Datos!E62),ISNUMBER($C$3),$C$3&gt;0),$C$3*(1-Datos!E62)/Datos!B62,"-")</f>
        <v/>
      </c>
      <c r="D61" s="8">
        <f>IF(AND(ISNUMBER(C61),ISNUMBER($B$2)),((C61*Datos!$B62)/(1+Datos!$C62)/$B$2)-1,IF(ISNUMBER($B$2),"-","INSERTAR COSTO"))</f>
        <v/>
      </c>
      <c r="E61" s="44">
        <f>IF(AND(ISNUMBER(Datos!F62),ISNUMBER($E$3),$E$3&gt;0),$E$3*(1-Datos!F62)/Datos!B62,"-")</f>
        <v/>
      </c>
      <c r="F61" s="8">
        <f>IF(AND(ISNUMBER(E61),ISNUMBER($B$2)),((E61*Datos!$B62)/(1+Datos!$C62)/$B$2)-1,IF(ISNUMBER($B$2),"-","INSERTAR COSTO"))</f>
        <v/>
      </c>
      <c r="G61" s="44">
        <f>IF(AND(ISNUMBER(Datos!G62),ISNUMBER($G$3),$G$3&gt;0),$G$3*(1-Datos!G62)/Datos!B62,"-")</f>
        <v/>
      </c>
      <c r="H61" s="8">
        <f>IF(AND(ISNUMBER(G61),ISNUMBER($B$2)),((G61*Datos!$B62)/(1+Datos!$C62)/$B$2)-1,IF(ISNUMBER($B$2),"-","INSERTAR COSTO"))</f>
        <v/>
      </c>
      <c r="I61" s="7">
        <f>IF(AND(ISNUMBER(Datos!H62),ISNUMBER($I$3),$I$3&gt;0),$I$3*(1-Datos!H62)/Datos!B62,"-")</f>
        <v/>
      </c>
      <c r="J61" s="8">
        <f>IF(AND(ISNUMBER(I61),ISNUMBER($B$2)),((I61*Datos!$B62)/(1+Datos!$C62)/$B$2)-1,IF(ISNUMBER($B$2),"-","INSERTAR COSTO"))</f>
        <v/>
      </c>
      <c r="K61" s="44">
        <f>IF(AND(ISNUMBER(Datos!I62),ISNUMBER($K$3),$K$3&gt;0),$K$3*(1-Datos!I62)/Datos!B62,"-")</f>
        <v/>
      </c>
      <c r="L61" s="8">
        <f>IF(AND(ISNUMBER(K61),ISNUMBER($B$2)),((K61*Datos!$B62)/(1+Datos!$C62)/$B$2)-1,IF(ISNUMBER($B$2),"-","INSERTAR COSTO"))</f>
        <v/>
      </c>
      <c r="M61" s="7">
        <f>IF(AND(ISNUMBER(Datos!L62),ISNUMBER($I$3),$I$3&gt;0),$I$3*(1-Datos!L62)/Datos!F62,"-")</f>
        <v/>
      </c>
      <c r="N61" s="73">
        <f>IF(AND(ISNUMBER(M61),ISNUMBER($B$2)),((M61*Datos!$B62)/(1+Datos!$C62)/$B$2)-1,IF(ISNUMBER($B$2),"-","INSERTAR COSTO"))</f>
        <v/>
      </c>
      <c r="O61" s="77">
        <f>IF(AND(ISNUMBER(Datos!D62),ISNUMBER($O$3),$O$3&gt;0),$O$3*(1+Datos!D62)/Datos!B62,"-")</f>
        <v/>
      </c>
      <c r="P61" s="76">
        <f>IF(AND(ISNUMBER(O61),ISNUMBER($B$2)),((O61*Datos!$B62)/(1+Datos!$C62)/$B$2)-1,IF(ISNUMBER($B$2),"-","INSERTAR COSTO"))</f>
        <v/>
      </c>
    </row>
    <row r="62" ht="14.5" customHeight="1" thickBot="1">
      <c r="A62" s="27">
        <f>Datos!A63</f>
        <v/>
      </c>
      <c r="B62" s="30" t="inlineStr">
        <is>
          <t>12 con interés</t>
        </is>
      </c>
      <c r="C62" s="44">
        <f>IF(AND(ISNUMBER(Datos!E63),ISNUMBER($C$3),$C$3&gt;0),$C$3*(1-Datos!E63)/Datos!B63,"-")</f>
        <v/>
      </c>
      <c r="D62" s="8">
        <f>IF(AND(ISNUMBER(C62),ISNUMBER($B$2)),((C62*Datos!$B63)/(1+Datos!$C63)/$B$2)-1,IF(ISNUMBER($B$2),"-","INSERTAR COSTO"))</f>
        <v/>
      </c>
      <c r="E62" s="44">
        <f>IF(AND(ISNUMBER(Datos!F63),ISNUMBER($E$3),$E$3&gt;0),$E$3*(1-Datos!F63)/Datos!B63,"-")</f>
        <v/>
      </c>
      <c r="F62" s="8">
        <f>IF(AND(ISNUMBER(E62),ISNUMBER($B$2)),((E62*Datos!$B63)/(1+Datos!$C63)/$B$2)-1,IF(ISNUMBER($B$2),"-","INSERTAR COSTO"))</f>
        <v/>
      </c>
      <c r="G62" s="44">
        <f>IF(AND(ISNUMBER(Datos!G63),ISNUMBER($G$3),$G$3&gt;0),$G$3*(1-Datos!G63)/Datos!B63,"-")</f>
        <v/>
      </c>
      <c r="H62" s="8">
        <f>IF(AND(ISNUMBER(G62),ISNUMBER($B$2)),((G62*Datos!$B63)/(1+Datos!$C63)/$B$2)-1,IF(ISNUMBER($B$2),"-","INSERTAR COSTO"))</f>
        <v/>
      </c>
      <c r="I62" s="7">
        <f>IF(AND(ISNUMBER(Datos!H63),ISNUMBER($I$3),$I$3&gt;0),$I$3*(1-Datos!H63)/Datos!B63,"-")</f>
        <v/>
      </c>
      <c r="J62" s="8">
        <f>IF(AND(ISNUMBER(I62),ISNUMBER($B$2)),((I62*Datos!$B63)/(1+Datos!$C63)/$B$2)-1,IF(ISNUMBER($B$2),"-","INSERTAR COSTO"))</f>
        <v/>
      </c>
      <c r="K62" s="44">
        <f>IF(AND(ISNUMBER(Datos!I63),ISNUMBER($K$3),$K$3&gt;0),$K$3*(1-Datos!I63)/Datos!B63,"-")</f>
        <v/>
      </c>
      <c r="L62" s="8">
        <f>IF(AND(ISNUMBER(K62),ISNUMBER($B$2)),((K62*Datos!$B63)/(1+Datos!$C63)/$B$2)-1,IF(ISNUMBER($B$2),"-","INSERTAR COSTO"))</f>
        <v/>
      </c>
      <c r="M62" s="7">
        <f>IF(AND(ISNUMBER(Datos!L63),ISNUMBER($I$3),$I$3&gt;0),$I$3*(1-Datos!L63)/Datos!F63,"-")</f>
        <v/>
      </c>
      <c r="N62" s="73">
        <f>IF(AND(ISNUMBER(M62),ISNUMBER($B$2)),((M62*Datos!$B63)/(1+Datos!$C63)/$B$2)-1,IF(ISNUMBER($B$2),"-","INSERTAR COSTO"))</f>
        <v/>
      </c>
      <c r="O62" s="78">
        <f>IF(AND(ISNUMBER(Datos!D63),ISNUMBER($O$3),$O$3&gt;0),$O$3*(1+Datos!D63)/Datos!B63,"-")</f>
        <v/>
      </c>
      <c r="P62" s="76">
        <f>IF(AND(ISNUMBER(O62),ISNUMBER($B$2)),((O62*Datos!$B63)/(1+Datos!$C63)/$B$2)-1,IF(ISNUMBER($B$2),"-","INSERTAR COSTO"))</f>
        <v/>
      </c>
    </row>
    <row r="63" hidden="1" ht="14.5" customHeight="1">
      <c r="A63" s="31">
        <f>Datos!A64</f>
        <v/>
      </c>
      <c r="B63" s="32" t="inlineStr">
        <is>
          <t>9 Cuotas</t>
        </is>
      </c>
      <c r="C63" s="44">
        <f>IF(AND(ISNUMBER(Datos!E64),ISNUMBER($C$3),$C$3&gt;0),$C$3*(1-Datos!E64)/Datos!B64,"-")</f>
        <v/>
      </c>
      <c r="D63" s="7" t="inlineStr">
        <is>
          <t>-</t>
        </is>
      </c>
      <c r="E63" s="44">
        <f>IF(AND(ISNUMBER(Datos!F64),ISNUMBER($E$3),$E$3&gt;0),$E$3*(1-Datos!F64)/Datos!B64,"-")</f>
        <v/>
      </c>
      <c r="F63" s="7" t="inlineStr">
        <is>
          <t>-</t>
        </is>
      </c>
      <c r="G63" s="44">
        <f>IF(AND(ISNUMBER(Datos!G64),ISNUMBER($G$3),$G$3&gt;0),$G$3*(1-Datos!G64)/Datos!B64,"-")</f>
        <v/>
      </c>
      <c r="H63" s="7" t="inlineStr">
        <is>
          <t>-</t>
        </is>
      </c>
      <c r="I63" s="7">
        <f>IF(AND(ISNUMBER(Datos!H64),ISNUMBER($I$3)),$I$3*(1-Datos!H64)/Datos!B64,"-")</f>
        <v/>
      </c>
      <c r="J63" s="8">
        <f>IF(AND(ISNUMBER(I63),ISNUMBER($B$2)),((I63*Datos!$B64)/(1+Datos!$C64)/$B$2)-1,IF(ISNUMBER($B$2),"-","INSERTAR COSTO"))</f>
        <v/>
      </c>
      <c r="K63" s="44">
        <f>IF(AND(ISNUMBER(Datos!I64),ISNUMBER($K$3),$K$3&gt;0),$K$3*(1-Datos!I64)/Datos!B64,"-")</f>
        <v/>
      </c>
      <c r="L63" s="8">
        <f>IF(ISNUMBER($B$2),((K63*Datos!$B64)/(1+Datos!$C64)/$B$2)-1,"INSERTAR COSTO")</f>
        <v/>
      </c>
    </row>
    <row r="64" hidden="1" ht="14.5" customHeight="1">
      <c r="A64" s="31">
        <f>Datos!A65</f>
        <v/>
      </c>
      <c r="B64" s="33" t="inlineStr">
        <is>
          <t>12 Cuotas</t>
        </is>
      </c>
      <c r="C64" s="44">
        <f>IF(AND(ISNUMBER(Datos!E65),ISNUMBER($C$3),$C$3&gt;0),$C$3*(1-Datos!E65)/Datos!B65,"-")</f>
        <v/>
      </c>
      <c r="D64" s="7" t="inlineStr">
        <is>
          <t>-</t>
        </is>
      </c>
      <c r="E64" s="44">
        <f>IF(AND(ISNUMBER(Datos!F65),ISNUMBER($E$3),$E$3&gt;0),$E$3*(1-Datos!F65)/Datos!B65,"-")</f>
        <v/>
      </c>
      <c r="F64" s="7" t="inlineStr">
        <is>
          <t>-</t>
        </is>
      </c>
      <c r="G64" s="44">
        <f>IF(AND(ISNUMBER(Datos!G65),ISNUMBER($G$3),$G$3&gt;0),$G$3*(1-Datos!G65)/Datos!B65,"-")</f>
        <v/>
      </c>
      <c r="H64" s="7" t="inlineStr">
        <is>
          <t>-</t>
        </is>
      </c>
      <c r="I64" s="7">
        <f>IF(AND(ISNUMBER(Datos!H65),ISNUMBER($I$3)),$I$3*(1-Datos!H65)/Datos!B65,"-")</f>
        <v/>
      </c>
      <c r="J64" s="8">
        <f>IF(AND(ISNUMBER(I64),ISNUMBER($B$2)),((I64*Datos!$B65)/(1+Datos!$C65)/$B$2)-1,IF(ISNUMBER($B$2),"-","INSERTAR COSTO"))</f>
        <v/>
      </c>
      <c r="K64" s="44">
        <f>IF(AND(ISNUMBER(Datos!I65),ISNUMBER($K$3),$K$3&gt;0),$K$3*(1-Datos!I65)/Datos!B65,"-")</f>
        <v/>
      </c>
      <c r="L64" s="8">
        <f>IF(ISNUMBER($B$2),((K64*Datos!$B65)/(1+Datos!$C65)/$B$2)-1,"INSERTAR COSTO")</f>
        <v/>
      </c>
    </row>
  </sheetData>
  <mergeCells count="7">
    <mergeCell ref="C1:D1"/>
    <mergeCell ref="G1:H1"/>
    <mergeCell ref="E1:F1"/>
    <mergeCell ref="K1:L1"/>
    <mergeCell ref="O1:P1"/>
    <mergeCell ref="M1:N1"/>
    <mergeCell ref="I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Franco Sanson</dc:creator>
  <dcterms:created xmlns:dcterms="http://purl.org/dc/terms/" xmlns:xsi="http://www.w3.org/2001/XMLSchema-instance" xsi:type="dcterms:W3CDTF">2026-04-29T18:55:41Z</dcterms:created>
  <dcterms:modified xmlns:dcterms="http://purl.org/dc/terms/" xmlns:xsi="http://www.w3.org/2001/XMLSchema-instance" xsi:type="dcterms:W3CDTF">2026-05-06T22:41:32Z</dcterms:modified>
  <cp:lastModifiedBy>Franco Sanson</cp:lastModifiedBy>
</cp:coreProperties>
</file>
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rand\Downloads\"/>
    </mc:Choice>
  </mc:AlternateContent>
  <xr:revisionPtr revIDLastSave="0" documentId="13_ncr:1_{92466A16-5C18-4DA3-BFD9-653AB19E1405}" xr6:coauthVersionLast="47" xr6:coauthVersionMax="47" xr10:uidLastSave="{00000000-0000-0000-0000-000000000000}"/>
  <bookViews>
    <workbookView xWindow="-110" yWindow="-110" windowWidth="29020" windowHeight="15700" xr2:uid="{00000000-000D-0000-FFFF-FFFF00000000}"/>
  </bookViews>
  <sheets>
    <sheet name="Datos" sheetId="1" r:id="rId1"/>
    <sheet name="Análi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D4" i="2" s="1"/>
  <c r="L3" i="2"/>
  <c r="J3" i="2"/>
  <c r="H3" i="2"/>
  <c r="F3" i="2"/>
  <c r="D3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K64" i="2"/>
  <c r="A64" i="2"/>
  <c r="K63" i="2"/>
  <c r="A63" i="2"/>
  <c r="K62" i="2"/>
  <c r="I62" i="2"/>
  <c r="G62" i="2"/>
  <c r="E62" i="2"/>
  <c r="C62" i="2"/>
  <c r="A62" i="2"/>
  <c r="K61" i="2"/>
  <c r="I61" i="2"/>
  <c r="G61" i="2"/>
  <c r="E61" i="2"/>
  <c r="C61" i="2"/>
  <c r="A61" i="2"/>
  <c r="K60" i="2"/>
  <c r="I60" i="2"/>
  <c r="G60" i="2"/>
  <c r="E60" i="2"/>
  <c r="C60" i="2"/>
  <c r="A60" i="2"/>
  <c r="K59" i="2"/>
  <c r="I59" i="2"/>
  <c r="G59" i="2"/>
  <c r="E59" i="2"/>
  <c r="C59" i="2"/>
  <c r="A59" i="2"/>
  <c r="K58" i="2"/>
  <c r="I58" i="2"/>
  <c r="G58" i="2"/>
  <c r="E58" i="2"/>
  <c r="C58" i="2"/>
  <c r="A58" i="2"/>
  <c r="K57" i="2"/>
  <c r="I57" i="2"/>
  <c r="G57" i="2"/>
  <c r="E57" i="2"/>
  <c r="C57" i="2"/>
  <c r="A57" i="2"/>
  <c r="K56" i="2"/>
  <c r="I56" i="2"/>
  <c r="G56" i="2"/>
  <c r="E56" i="2"/>
  <c r="C56" i="2"/>
  <c r="A56" i="2"/>
  <c r="K55" i="2"/>
  <c r="I55" i="2"/>
  <c r="G55" i="2"/>
  <c r="E55" i="2"/>
  <c r="C55" i="2"/>
  <c r="A55" i="2"/>
  <c r="K54" i="2"/>
  <c r="I54" i="2"/>
  <c r="G54" i="2"/>
  <c r="E54" i="2"/>
  <c r="C54" i="2"/>
  <c r="A54" i="2"/>
  <c r="K53" i="2"/>
  <c r="I53" i="2"/>
  <c r="G53" i="2"/>
  <c r="E53" i="2"/>
  <c r="C53" i="2"/>
  <c r="A53" i="2"/>
  <c r="K52" i="2"/>
  <c r="I52" i="2"/>
  <c r="G52" i="2"/>
  <c r="E52" i="2"/>
  <c r="C52" i="2"/>
  <c r="A52" i="2"/>
  <c r="K51" i="2"/>
  <c r="I51" i="2"/>
  <c r="G51" i="2"/>
  <c r="E51" i="2"/>
  <c r="C51" i="2"/>
  <c r="A51" i="2"/>
  <c r="K50" i="2"/>
  <c r="I50" i="2"/>
  <c r="G50" i="2"/>
  <c r="E50" i="2"/>
  <c r="C50" i="2"/>
  <c r="A50" i="2"/>
  <c r="K49" i="2"/>
  <c r="I49" i="2"/>
  <c r="G49" i="2"/>
  <c r="E49" i="2"/>
  <c r="C49" i="2"/>
  <c r="A49" i="2"/>
  <c r="K48" i="2"/>
  <c r="I48" i="2"/>
  <c r="G48" i="2"/>
  <c r="E48" i="2"/>
  <c r="C48" i="2"/>
  <c r="A48" i="2"/>
  <c r="K47" i="2"/>
  <c r="I47" i="2"/>
  <c r="G47" i="2"/>
  <c r="E47" i="2"/>
  <c r="C47" i="2"/>
  <c r="A47" i="2"/>
  <c r="K46" i="2"/>
  <c r="I46" i="2"/>
  <c r="G46" i="2"/>
  <c r="E46" i="2"/>
  <c r="C46" i="2"/>
  <c r="A46" i="2"/>
  <c r="K45" i="2"/>
  <c r="I45" i="2"/>
  <c r="G45" i="2"/>
  <c r="E45" i="2"/>
  <c r="C45" i="2"/>
  <c r="A45" i="2"/>
  <c r="K44" i="2"/>
  <c r="I44" i="2"/>
  <c r="G44" i="2"/>
  <c r="E44" i="2"/>
  <c r="C44" i="2"/>
  <c r="A44" i="2"/>
  <c r="K43" i="2"/>
  <c r="I43" i="2"/>
  <c r="G43" i="2"/>
  <c r="E43" i="2"/>
  <c r="C43" i="2"/>
  <c r="A43" i="2"/>
  <c r="K42" i="2"/>
  <c r="I42" i="2"/>
  <c r="G42" i="2"/>
  <c r="E42" i="2"/>
  <c r="C42" i="2"/>
  <c r="A42" i="2"/>
  <c r="K41" i="2"/>
  <c r="I41" i="2"/>
  <c r="G41" i="2"/>
  <c r="E41" i="2"/>
  <c r="C41" i="2"/>
  <c r="A41" i="2"/>
  <c r="K40" i="2"/>
  <c r="I40" i="2"/>
  <c r="G40" i="2"/>
  <c r="E40" i="2"/>
  <c r="C40" i="2"/>
  <c r="A40" i="2"/>
  <c r="K39" i="2"/>
  <c r="I39" i="2"/>
  <c r="G39" i="2"/>
  <c r="E39" i="2"/>
  <c r="C39" i="2"/>
  <c r="A39" i="2"/>
  <c r="K38" i="2"/>
  <c r="I38" i="2"/>
  <c r="G38" i="2"/>
  <c r="E38" i="2"/>
  <c r="C38" i="2"/>
  <c r="A38" i="2"/>
  <c r="K37" i="2"/>
  <c r="I37" i="2"/>
  <c r="G37" i="2"/>
  <c r="E37" i="2"/>
  <c r="C37" i="2"/>
  <c r="A37" i="2"/>
  <c r="K36" i="2"/>
  <c r="I36" i="2"/>
  <c r="G36" i="2"/>
  <c r="E36" i="2"/>
  <c r="C36" i="2"/>
  <c r="A36" i="2"/>
  <c r="K35" i="2"/>
  <c r="I35" i="2"/>
  <c r="G35" i="2"/>
  <c r="E35" i="2"/>
  <c r="C35" i="2"/>
  <c r="A35" i="2"/>
  <c r="K34" i="2"/>
  <c r="I34" i="2"/>
  <c r="G34" i="2"/>
  <c r="E34" i="2"/>
  <c r="C34" i="2"/>
  <c r="A34" i="2"/>
  <c r="K33" i="2"/>
  <c r="I33" i="2"/>
  <c r="E33" i="2"/>
  <c r="C33" i="2"/>
  <c r="A33" i="2"/>
  <c r="K32" i="2"/>
  <c r="I32" i="2"/>
  <c r="G32" i="2"/>
  <c r="E32" i="2"/>
  <c r="A32" i="2"/>
  <c r="K31" i="2"/>
  <c r="I31" i="2"/>
  <c r="G31" i="2"/>
  <c r="E31" i="2"/>
  <c r="C31" i="2"/>
  <c r="A31" i="2"/>
  <c r="K30" i="2"/>
  <c r="I30" i="2"/>
  <c r="E30" i="2"/>
  <c r="C30" i="2"/>
  <c r="A30" i="2"/>
  <c r="K29" i="2"/>
  <c r="I29" i="2"/>
  <c r="G29" i="2"/>
  <c r="E29" i="2"/>
  <c r="C29" i="2"/>
  <c r="A29" i="2"/>
  <c r="K28" i="2"/>
  <c r="I28" i="2"/>
  <c r="E28" i="2"/>
  <c r="A28" i="2"/>
  <c r="K27" i="2"/>
  <c r="I27" i="2"/>
  <c r="E27" i="2"/>
  <c r="A27" i="2"/>
  <c r="K26" i="2"/>
  <c r="I26" i="2"/>
  <c r="E26" i="2"/>
  <c r="A26" i="2"/>
  <c r="K25" i="2"/>
  <c r="I25" i="2"/>
  <c r="G25" i="2"/>
  <c r="E25" i="2"/>
  <c r="C25" i="2"/>
  <c r="A25" i="2"/>
  <c r="K24" i="2"/>
  <c r="I24" i="2"/>
  <c r="E24" i="2"/>
  <c r="K23" i="2"/>
  <c r="I23" i="2"/>
  <c r="G23" i="2"/>
  <c r="E23" i="2"/>
  <c r="C23" i="2"/>
  <c r="K22" i="2"/>
  <c r="I22" i="2"/>
  <c r="E22" i="2"/>
  <c r="K21" i="2"/>
  <c r="I21" i="2"/>
  <c r="G21" i="2"/>
  <c r="E21" i="2"/>
  <c r="C21" i="2"/>
  <c r="K20" i="2"/>
  <c r="I20" i="2"/>
  <c r="E20" i="2"/>
  <c r="C20" i="2"/>
  <c r="K19" i="2"/>
  <c r="I19" i="2"/>
  <c r="G19" i="2"/>
  <c r="E19" i="2"/>
  <c r="K18" i="2"/>
  <c r="I18" i="2"/>
  <c r="E18" i="2"/>
  <c r="K17" i="2"/>
  <c r="I17" i="2"/>
  <c r="E17" i="2"/>
  <c r="K16" i="2"/>
  <c r="I16" i="2"/>
  <c r="E16" i="2"/>
  <c r="K15" i="2"/>
  <c r="I15" i="2"/>
  <c r="E15" i="2"/>
  <c r="K14" i="2"/>
  <c r="I14" i="2"/>
  <c r="E14" i="2"/>
  <c r="C14" i="2"/>
  <c r="A14" i="2"/>
  <c r="K13" i="2"/>
  <c r="I13" i="2"/>
  <c r="G13" i="2"/>
  <c r="E13" i="2"/>
  <c r="C13" i="2"/>
  <c r="A13" i="2"/>
  <c r="K12" i="2"/>
  <c r="I12" i="2"/>
  <c r="E12" i="2"/>
  <c r="C12" i="2"/>
  <c r="A12" i="2"/>
  <c r="K11" i="2"/>
  <c r="I11" i="2"/>
  <c r="G11" i="2"/>
  <c r="E11" i="2"/>
  <c r="C11" i="2"/>
  <c r="A11" i="2"/>
  <c r="K10" i="2"/>
  <c r="I10" i="2"/>
  <c r="G10" i="2"/>
  <c r="E10" i="2"/>
  <c r="C10" i="2"/>
  <c r="A10" i="2"/>
  <c r="K9" i="2"/>
  <c r="I9" i="2"/>
  <c r="E9" i="2"/>
  <c r="C9" i="2"/>
  <c r="A9" i="2"/>
  <c r="K8" i="2"/>
  <c r="I8" i="2"/>
  <c r="G8" i="2"/>
  <c r="E8" i="2"/>
  <c r="C8" i="2"/>
  <c r="A8" i="2"/>
  <c r="K7" i="2"/>
  <c r="I7" i="2"/>
  <c r="E7" i="2"/>
  <c r="C7" i="2"/>
  <c r="A7" i="2"/>
  <c r="K6" i="2"/>
  <c r="I6" i="2"/>
  <c r="E6" i="2"/>
  <c r="C6" i="2"/>
  <c r="A6" i="2"/>
  <c r="K5" i="2"/>
  <c r="I5" i="2"/>
  <c r="E5" i="2"/>
  <c r="C5" i="2"/>
  <c r="A5" i="2"/>
  <c r="K4" i="2"/>
  <c r="I4" i="2"/>
  <c r="G4" i="2"/>
  <c r="E4" i="2"/>
  <c r="A4" i="2"/>
  <c r="M3" i="2"/>
  <c r="I3" i="2"/>
  <c r="G3" i="2"/>
  <c r="E3" i="2"/>
  <c r="C3" i="2"/>
  <c r="G14" i="2" l="1"/>
  <c r="G24" i="2"/>
  <c r="G15" i="2"/>
  <c r="G12" i="2"/>
  <c r="G22" i="2"/>
  <c r="G7" i="2"/>
  <c r="G30" i="2"/>
  <c r="G20" i="2"/>
  <c r="G18" i="2"/>
  <c r="G6" i="2"/>
  <c r="G17" i="2"/>
  <c r="G27" i="2"/>
  <c r="G16" i="2"/>
  <c r="G26" i="2"/>
  <c r="G9" i="2"/>
  <c r="G33" i="2"/>
  <c r="G5" i="2"/>
  <c r="G28" i="2"/>
  <c r="C27" i="2"/>
  <c r="C28" i="2"/>
  <c r="C24" i="2"/>
  <c r="C19" i="2"/>
  <c r="C22" i="2"/>
  <c r="C16" i="2"/>
  <c r="C18" i="2"/>
  <c r="C32" i="2"/>
  <c r="C17" i="2"/>
  <c r="C15" i="2"/>
  <c r="C26" i="2"/>
</calcChain>
</file>

<file path=xl/sharedStrings.xml><?xml version="1.0" encoding="utf-8"?>
<sst xmlns="http://schemas.openxmlformats.org/spreadsheetml/2006/main" count="332" uniqueCount="88">
  <si>
    <t>Interés</t>
  </si>
  <si>
    <t>Tarjeta</t>
  </si>
  <si>
    <t>Cuotas</t>
  </si>
  <si>
    <t>Mi comercio</t>
  </si>
  <si>
    <t>Ecommerce</t>
  </si>
  <si>
    <t>Cetrogar</t>
  </si>
  <si>
    <t>On City</t>
  </si>
  <si>
    <t>Castillo</t>
  </si>
  <si>
    <t>Montes</t>
  </si>
  <si>
    <t>Lista Precios 4</t>
  </si>
  <si>
    <t>Precio</t>
  </si>
  <si>
    <t>-</t>
  </si>
  <si>
    <t>VISA/MASTERCARD/AMEX</t>
  </si>
  <si>
    <t>Débito/Crédito</t>
  </si>
  <si>
    <t>VISA/MASTER MACRO</t>
  </si>
  <si>
    <t>3 sin int Macro</t>
  </si>
  <si>
    <t>6 sin int Macro</t>
  </si>
  <si>
    <t>9 sin int Macro</t>
  </si>
  <si>
    <t>9 con int Macro</t>
  </si>
  <si>
    <t>12 sin int Macro</t>
  </si>
  <si>
    <t>12 con int Macro</t>
  </si>
  <si>
    <t>15 sin int Macro</t>
  </si>
  <si>
    <t>15 con int Macro</t>
  </si>
  <si>
    <t>18 sin int Macro</t>
  </si>
  <si>
    <t>18 con int Macro</t>
  </si>
  <si>
    <t>VISA/MASTER NACION</t>
  </si>
  <si>
    <t>3 sin int Nación 5%</t>
  </si>
  <si>
    <t>6 sin int Nación 5%</t>
  </si>
  <si>
    <t>12 sin int Nación 5%</t>
  </si>
  <si>
    <t>12 sin int Nación</t>
  </si>
  <si>
    <t>15 sin int Nación</t>
  </si>
  <si>
    <t>15 con int Nación</t>
  </si>
  <si>
    <t>18 sin int Nación</t>
  </si>
  <si>
    <t>18 con int Nación</t>
  </si>
  <si>
    <t>20 sin int Nación</t>
  </si>
  <si>
    <t>20 con int Nación</t>
  </si>
  <si>
    <t>NARANJAX</t>
  </si>
  <si>
    <t>Plan Z</t>
  </si>
  <si>
    <t>Naranja 6 s/i</t>
  </si>
  <si>
    <t>Naranja 9 s/i</t>
  </si>
  <si>
    <t>Naranja 9 c/i</t>
  </si>
  <si>
    <t>Naranja 10 s/i</t>
  </si>
  <si>
    <t>Naranja 10 c/i</t>
  </si>
  <si>
    <t>Naranja 12 s/i</t>
  </si>
  <si>
    <t>Naranja 12 c/i</t>
  </si>
  <si>
    <t>Naranja 15 s/i</t>
  </si>
  <si>
    <t>Naranja 15 c/i</t>
  </si>
  <si>
    <t>Naranja 18 s/i</t>
  </si>
  <si>
    <t>Naranja 18 c/i</t>
  </si>
  <si>
    <t>MERCADO PAGO</t>
  </si>
  <si>
    <t>3 sin int MP</t>
  </si>
  <si>
    <t>6 sin int MP</t>
  </si>
  <si>
    <t>9 sin int MP</t>
  </si>
  <si>
    <t>9 con int MP</t>
  </si>
  <si>
    <t>12 sin int MP</t>
  </si>
  <si>
    <t>12 con int MP</t>
  </si>
  <si>
    <t>18 con int MP</t>
  </si>
  <si>
    <t>24 con int MP</t>
  </si>
  <si>
    <t>GETNET SANTANDER</t>
  </si>
  <si>
    <t>3 sin int Santander</t>
  </si>
  <si>
    <t>6 sin int Santander</t>
  </si>
  <si>
    <t>9 sin int Santander</t>
  </si>
  <si>
    <t>9 con int Santander</t>
  </si>
  <si>
    <t>12 sin int Santander</t>
  </si>
  <si>
    <t>12 con int Santander</t>
  </si>
  <si>
    <t>CREDIMAS</t>
  </si>
  <si>
    <t>Crédito</t>
  </si>
  <si>
    <t>Plan Fácil 3</t>
  </si>
  <si>
    <t>Plan Fácil 6</t>
  </si>
  <si>
    <t>SUCRÉDITO</t>
  </si>
  <si>
    <t>3 sin interés</t>
  </si>
  <si>
    <t>6 sin interés</t>
  </si>
  <si>
    <t>9 sin interés</t>
  </si>
  <si>
    <t>9 con interés</t>
  </si>
  <si>
    <t>12 sin interés</t>
  </si>
  <si>
    <t>12 con interés</t>
  </si>
  <si>
    <t>PAYWAY</t>
  </si>
  <si>
    <t>9 Cuotas</t>
  </si>
  <si>
    <t>12 Cuotas</t>
  </si>
  <si>
    <t>Costo</t>
  </si>
  <si>
    <t>CETROGAR</t>
  </si>
  <si>
    <t>ON CITY</t>
  </si>
  <si>
    <t>CASTILLO</t>
  </si>
  <si>
    <t>MONTES</t>
  </si>
  <si>
    <t>MI COMERCIO</t>
  </si>
  <si>
    <t>Markup</t>
  </si>
  <si>
    <t xml:space="preserve"> </t>
  </si>
  <si>
    <t>INSERTAR 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</si>
</sst>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[$ $]#,##0.00"/>
  </numFmts>
  <fonts count="15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206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b/>
      <sz val="11"/>
      <color rgb="FF1155CC"/>
      <name val="Calibri"/>
      <family val="2"/>
    </font>
    <font>
      <b/>
      <sz val="11"/>
      <color rgb="FFFFFF00"/>
      <name val="Calibri"/>
      <family val="2"/>
    </font>
    <font>
      <sz val="10"/>
      <color theme="1"/>
      <name val="Arial"/>
      <family val="2"/>
      <scheme val="minor"/>
    </font>
    <font>
      <sz val="11"/>
      <color rgb="FFFFFFFF"/>
      <name val="Calibri"/>
      <family val="2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79646"/>
        <bgColor rgb="FFF79646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00FFFF"/>
        <bgColor rgb="FF00FFFF"/>
      </patternFill>
    </fill>
    <fill>
      <patternFill patternType="solid">
        <fgColor rgb="FFC00000"/>
        <bgColor rgb="FFC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2" fillId="0" borderId="0"/>
    <xf numFmtId="9" fontId="12" fillId="0" borderId="0"/>
  </cellStyleXfs>
  <cellXfs count="7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10" fontId="2" fillId="0" borderId="4" xfId="0" applyNumberFormat="1" applyFont="1" applyBorder="1" applyAlignment="1">
      <alignment horizontal="center"/>
    </xf>
    <xf numFmtId="10" fontId="2" fillId="3" borderId="4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10" fontId="5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10" fillId="0" borderId="0" xfId="0" applyNumberFormat="1" applyFont="1"/>
    <xf numFmtId="0" fontId="4" fillId="10" borderId="6" xfId="0" applyFont="1" applyFill="1" applyBorder="1" applyAlignment="1">
      <alignment horizontal="center"/>
    </xf>
    <xf numFmtId="0" fontId="8" fillId="11" borderId="6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2" fillId="10" borderId="2" xfId="0" applyNumberFormat="1" applyFont="1" applyFill="1" applyBorder="1" applyAlignment="1">
      <alignment horizontal="center"/>
    </xf>
    <xf numFmtId="164" fontId="8" fillId="11" borderId="2" xfId="0" applyNumberFormat="1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/>
    </xf>
    <xf numFmtId="164" fontId="11" fillId="12" borderId="2" xfId="0" applyNumberFormat="1" applyFon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" fontId="10" fillId="0" borderId="0" xfId="0" applyNumberFormat="1" applyFont="1"/>
    <xf numFmtId="0" fontId="1" fillId="13" borderId="6" xfId="0" applyFont="1" applyFill="1" applyBorder="1" applyAlignment="1">
      <alignment horizontal="center"/>
    </xf>
    <xf numFmtId="0" fontId="13" fillId="13" borderId="4" xfId="0" applyFont="1" applyFill="1" applyBorder="1" applyAlignment="1">
      <alignment horizontal="center"/>
    </xf>
    <xf numFmtId="0" fontId="14" fillId="13" borderId="4" xfId="0" applyFont="1" applyFill="1" applyBorder="1" applyAlignment="1">
      <alignment horizontal="center"/>
    </xf>
    <xf numFmtId="0" fontId="14" fillId="13" borderId="5" xfId="0" applyFont="1" applyFill="1" applyBorder="1" applyAlignment="1">
      <alignment horizontal="center"/>
    </xf>
    <xf numFmtId="44" fontId="1" fillId="13" borderId="4" xfId="1" applyFont="1" applyFill="1" applyBorder="1" applyAlignment="1">
      <alignment horizontal="center"/>
    </xf>
    <xf numFmtId="44" fontId="1" fillId="13" borderId="8" xfId="1" applyFont="1" applyFill="1" applyBorder="1" applyAlignment="1">
      <alignment horizontal="center"/>
    </xf>
    <xf numFmtId="44" fontId="1" fillId="13" borderId="5" xfId="1" applyFont="1" applyFill="1" applyBorder="1" applyAlignment="1">
      <alignment horizontal="center"/>
    </xf>
    <xf numFmtId="10" fontId="2" fillId="0" borderId="4" xfId="2" applyNumberFormat="1" applyFont="1" applyBorder="1" applyAlignment="1">
      <alignment horizontal="center"/>
    </xf>
    <xf numFmtId="10" fontId="2" fillId="0" borderId="5" xfId="2" applyNumberFormat="1" applyFont="1" applyBorder="1" applyAlignment="1">
      <alignment horizontal="center"/>
    </xf>
    <xf numFmtId="10" fontId="2" fillId="0" borderId="3" xfId="2" applyNumberFormat="1" applyFont="1" applyBorder="1" applyAlignment="1">
      <alignment horizontal="center"/>
    </xf>
    <xf numFmtId="10" fontId="2" fillId="0" borderId="2" xfId="2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4" fillId="10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3" fillId="12" borderId="0" xfId="0" applyFont="1" applyFill="1" applyAlignment="1">
      <alignment horizontal="center"/>
    </xf>
    <xf numFmtId="0" fontId="0" fillId="0" borderId="0" xfId="0"/>
    <xf numFmtId="0" fontId="7" fillId="3" borderId="3" xfId="0" applyFont="1" applyFill="1" applyBorder="1" applyAlignment="1">
      <alignment horizontal="center"/>
    </xf>
    <xf numFmtId="164" fontId="10" fillId="14" borderId="9" xfId="0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5"/>
  <sheetViews>
    <sheetView tabSelected="1" workbookViewId="0">
      <selection activeCell="F10" sqref="F10"/>
    </sheetView>
  </sheetViews>
  <sheetFormatPr defaultColWidth="12.6328125" defaultRowHeight="15.75" customHeight="1" x14ac:dyDescent="0.25"/>
  <cols>
    <col min="1" max="1" width="21.26953125" customWidth="1"/>
    <col min="2" max="2" width="6.26953125" customWidth="1"/>
    <col min="3" max="3" width="8" customWidth="1"/>
    <col min="4" max="4" width="12.08984375" customWidth="1"/>
    <col min="9" max="9" width="16.7265625" customWidth="1"/>
    <col min="12" max="12" width="14" customWidth="1"/>
  </cols>
  <sheetData>
    <row r="1" spans="1:9" ht="14.5" customHeight="1" x14ac:dyDescent="0.35">
      <c r="A1" s="1"/>
      <c r="B1" s="2"/>
      <c r="C1" s="2"/>
      <c r="D1" s="2"/>
      <c r="E1" s="2"/>
      <c r="F1" s="2"/>
      <c r="G1" s="2"/>
      <c r="H1" s="2"/>
    </row>
    <row r="2" spans="1:9" ht="14.5" customHeight="1" x14ac:dyDescent="0.35">
      <c r="A2" s="1"/>
      <c r="B2" s="1"/>
      <c r="C2" s="61" t="s">
        <v>0</v>
      </c>
      <c r="D2" s="62"/>
      <c r="E2" s="62"/>
      <c r="F2" s="62"/>
      <c r="G2" s="62"/>
      <c r="H2" s="63"/>
    </row>
    <row r="3" spans="1:9" ht="14.5" customHeight="1" x14ac:dyDescent="0.35">
      <c r="A3" s="3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3" t="s">
        <v>9</v>
      </c>
    </row>
    <row r="4" spans="1:9" ht="14.5" customHeight="1" x14ac:dyDescent="0.35">
      <c r="A4" s="50" t="s">
        <v>10</v>
      </c>
      <c r="B4" s="51">
        <v>1</v>
      </c>
      <c r="C4" s="52" t="s">
        <v>11</v>
      </c>
      <c r="D4" s="52" t="s">
        <v>11</v>
      </c>
      <c r="E4" s="54">
        <v>55499</v>
      </c>
      <c r="F4" s="54"/>
      <c r="G4" s="55">
        <v>58608</v>
      </c>
      <c r="H4" s="56"/>
      <c r="I4" s="53" t="s">
        <v>10</v>
      </c>
    </row>
    <row r="5" spans="1:9" ht="14.5" customHeight="1" x14ac:dyDescent="0.35">
      <c r="A5" s="7" t="s">
        <v>12</v>
      </c>
      <c r="B5" s="8">
        <v>1</v>
      </c>
      <c r="C5" s="9">
        <v>0</v>
      </c>
      <c r="D5" s="10">
        <v>-0.15</v>
      </c>
      <c r="E5" s="57" t="s">
        <v>11</v>
      </c>
      <c r="F5" s="57"/>
      <c r="G5" s="58" t="s">
        <v>11</v>
      </c>
      <c r="H5" s="58"/>
      <c r="I5" s="11" t="s">
        <v>13</v>
      </c>
    </row>
    <row r="6" spans="1:9" ht="14.5" customHeight="1" x14ac:dyDescent="0.35">
      <c r="A6" s="12" t="s">
        <v>14</v>
      </c>
      <c r="B6" s="8">
        <v>3</v>
      </c>
      <c r="C6" s="9">
        <v>6.6500000000000004E-2</v>
      </c>
      <c r="D6" s="10">
        <v>-0.04</v>
      </c>
      <c r="E6" s="57" t="s">
        <v>11</v>
      </c>
      <c r="F6" s="58"/>
      <c r="G6" s="58">
        <v>0</v>
      </c>
      <c r="H6" s="58"/>
      <c r="I6" s="12" t="s">
        <v>15</v>
      </c>
    </row>
    <row r="7" spans="1:9" ht="14.5" customHeight="1" x14ac:dyDescent="0.35">
      <c r="A7" s="12" t="s">
        <v>14</v>
      </c>
      <c r="B7" s="8">
        <v>6</v>
      </c>
      <c r="C7" s="13">
        <v>0.126</v>
      </c>
      <c r="D7" s="9">
        <v>0</v>
      </c>
      <c r="E7" s="57" t="s">
        <v>11</v>
      </c>
      <c r="F7" s="58"/>
      <c r="G7" s="58">
        <v>0</v>
      </c>
      <c r="H7" s="58"/>
      <c r="I7" s="12" t="s">
        <v>16</v>
      </c>
    </row>
    <row r="8" spans="1:9" ht="14.5" customHeight="1" x14ac:dyDescent="0.35">
      <c r="A8" s="12" t="s">
        <v>14</v>
      </c>
      <c r="B8" s="8">
        <v>9</v>
      </c>
      <c r="C8" s="9">
        <v>0.1875</v>
      </c>
      <c r="D8" s="9">
        <v>0</v>
      </c>
      <c r="E8" s="57" t="s">
        <v>11</v>
      </c>
      <c r="F8" s="58"/>
      <c r="G8" s="58">
        <v>0</v>
      </c>
      <c r="H8" s="58"/>
      <c r="I8" s="12" t="s">
        <v>17</v>
      </c>
    </row>
    <row r="9" spans="1:9" ht="14.5" customHeight="1" x14ac:dyDescent="0.35">
      <c r="A9" s="12" t="s">
        <v>14</v>
      </c>
      <c r="B9" s="8">
        <v>9</v>
      </c>
      <c r="C9" s="9">
        <v>0.1875</v>
      </c>
      <c r="D9" s="9">
        <v>0.05</v>
      </c>
      <c r="E9" s="57" t="s">
        <v>11</v>
      </c>
      <c r="F9" s="58"/>
      <c r="G9" s="58" t="s">
        <v>11</v>
      </c>
      <c r="H9" s="58"/>
      <c r="I9" s="12" t="s">
        <v>18</v>
      </c>
    </row>
    <row r="10" spans="1:9" ht="14.5" customHeight="1" x14ac:dyDescent="0.35">
      <c r="A10" s="12" t="s">
        <v>14</v>
      </c>
      <c r="B10" s="8">
        <v>12</v>
      </c>
      <c r="C10" s="9">
        <v>0.251</v>
      </c>
      <c r="D10" s="9">
        <v>0</v>
      </c>
      <c r="E10" s="59" t="s">
        <v>11</v>
      </c>
      <c r="F10" s="58"/>
      <c r="G10" s="58">
        <v>0</v>
      </c>
      <c r="H10" s="58"/>
      <c r="I10" s="12" t="s">
        <v>19</v>
      </c>
    </row>
    <row r="11" spans="1:9" ht="14.5" customHeight="1" x14ac:dyDescent="0.35">
      <c r="A11" s="12" t="s">
        <v>14</v>
      </c>
      <c r="B11" s="8">
        <v>12</v>
      </c>
      <c r="C11" s="9">
        <v>0.251</v>
      </c>
      <c r="D11" s="9">
        <v>0.1</v>
      </c>
      <c r="E11" s="59" t="s">
        <v>11</v>
      </c>
      <c r="F11" s="58"/>
      <c r="G11" s="58" t="s">
        <v>11</v>
      </c>
      <c r="H11" s="58"/>
      <c r="I11" s="12" t="s">
        <v>20</v>
      </c>
    </row>
    <row r="12" spans="1:9" ht="14.5" customHeight="1" x14ac:dyDescent="0.35">
      <c r="A12" s="12" t="s">
        <v>14</v>
      </c>
      <c r="B12" s="8">
        <v>15</v>
      </c>
      <c r="C12" s="9">
        <v>0.317</v>
      </c>
      <c r="D12" s="9">
        <v>0</v>
      </c>
      <c r="E12" s="58" t="s">
        <v>11</v>
      </c>
      <c r="F12" s="59"/>
      <c r="G12" s="58" t="s">
        <v>11</v>
      </c>
      <c r="H12" s="58"/>
      <c r="I12" s="12" t="s">
        <v>21</v>
      </c>
    </row>
    <row r="13" spans="1:9" ht="14.5" customHeight="1" x14ac:dyDescent="0.35">
      <c r="A13" s="12" t="s">
        <v>14</v>
      </c>
      <c r="B13" s="8">
        <v>15</v>
      </c>
      <c r="C13" s="9">
        <v>0.317</v>
      </c>
      <c r="D13" s="9">
        <v>0.15</v>
      </c>
      <c r="E13" s="58" t="s">
        <v>11</v>
      </c>
      <c r="F13" s="59"/>
      <c r="G13" s="58">
        <v>1.95E-2</v>
      </c>
      <c r="H13" s="58"/>
      <c r="I13" s="12" t="s">
        <v>22</v>
      </c>
    </row>
    <row r="14" spans="1:9" ht="14.5" customHeight="1" x14ac:dyDescent="0.35">
      <c r="A14" s="12" t="s">
        <v>14</v>
      </c>
      <c r="B14" s="8">
        <v>18</v>
      </c>
      <c r="C14" s="9">
        <v>0.38500000000000001</v>
      </c>
      <c r="D14" s="9">
        <v>0</v>
      </c>
      <c r="E14" s="58" t="s">
        <v>11</v>
      </c>
      <c r="F14" s="59"/>
      <c r="G14" s="58" t="s">
        <v>11</v>
      </c>
      <c r="H14" s="58"/>
      <c r="I14" s="12" t="s">
        <v>23</v>
      </c>
    </row>
    <row r="15" spans="1:9" ht="14.5" customHeight="1" x14ac:dyDescent="0.35">
      <c r="A15" s="12" t="s">
        <v>14</v>
      </c>
      <c r="B15" s="8">
        <v>18</v>
      </c>
      <c r="C15" s="9">
        <v>0.38500000000000001</v>
      </c>
      <c r="D15" s="9">
        <v>0.21</v>
      </c>
      <c r="E15" s="59" t="s">
        <v>11</v>
      </c>
      <c r="F15" s="59"/>
      <c r="G15" s="58">
        <v>7.0199999999999999E-2</v>
      </c>
      <c r="H15" s="58"/>
      <c r="I15" s="12" t="s">
        <v>24</v>
      </c>
    </row>
    <row r="16" spans="1:9" ht="14.5" customHeight="1" x14ac:dyDescent="0.35">
      <c r="A16" s="16" t="s">
        <v>25</v>
      </c>
      <c r="B16" s="8">
        <v>3</v>
      </c>
      <c r="C16" s="9">
        <v>1.8499999999999999E-2</v>
      </c>
      <c r="D16" s="10">
        <v>-0.05</v>
      </c>
      <c r="E16" s="57">
        <v>0</v>
      </c>
      <c r="F16" s="58"/>
      <c r="G16" s="58">
        <v>0</v>
      </c>
      <c r="H16" s="58"/>
      <c r="I16" s="17" t="s">
        <v>26</v>
      </c>
    </row>
    <row r="17" spans="1:9" ht="14.5" customHeight="1" x14ac:dyDescent="0.35">
      <c r="A17" s="16" t="s">
        <v>25</v>
      </c>
      <c r="B17" s="8">
        <v>6</v>
      </c>
      <c r="C17" s="9">
        <v>7.7499999999999999E-2</v>
      </c>
      <c r="D17" s="10">
        <v>-0.05</v>
      </c>
      <c r="E17" s="57">
        <v>0</v>
      </c>
      <c r="F17" s="58"/>
      <c r="G17" s="58">
        <v>0</v>
      </c>
      <c r="H17" s="58"/>
      <c r="I17" s="17" t="s">
        <v>27</v>
      </c>
    </row>
    <row r="18" spans="1:9" ht="14.5" customHeight="1" x14ac:dyDescent="0.35">
      <c r="A18" s="16" t="s">
        <v>25</v>
      </c>
      <c r="B18" s="8">
        <v>12</v>
      </c>
      <c r="C18" s="9">
        <v>0.13100000000000001</v>
      </c>
      <c r="D18" s="10">
        <v>-0.05</v>
      </c>
      <c r="E18" s="57">
        <v>0</v>
      </c>
      <c r="F18" s="58"/>
      <c r="G18" s="58">
        <v>0</v>
      </c>
      <c r="H18" s="58"/>
      <c r="I18" s="17" t="s">
        <v>28</v>
      </c>
    </row>
    <row r="19" spans="1:9" ht="14.5" customHeight="1" x14ac:dyDescent="0.35">
      <c r="A19" s="16" t="s">
        <v>25</v>
      </c>
      <c r="B19" s="8">
        <v>12</v>
      </c>
      <c r="C19" s="9">
        <v>0.13100000000000001</v>
      </c>
      <c r="D19" s="9">
        <v>0</v>
      </c>
      <c r="E19" s="57">
        <v>0</v>
      </c>
      <c r="F19" s="58"/>
      <c r="G19" s="58">
        <v>0</v>
      </c>
      <c r="H19" s="58"/>
      <c r="I19" s="17" t="s">
        <v>29</v>
      </c>
    </row>
    <row r="20" spans="1:9" ht="14.5" customHeight="1" x14ac:dyDescent="0.35">
      <c r="A20" s="16" t="s">
        <v>25</v>
      </c>
      <c r="B20" s="8">
        <v>15</v>
      </c>
      <c r="C20" s="9">
        <v>0.23449999999999999</v>
      </c>
      <c r="D20" s="9">
        <v>0</v>
      </c>
      <c r="E20" s="59">
        <v>0</v>
      </c>
      <c r="F20" s="59"/>
      <c r="G20" s="58" t="s">
        <v>11</v>
      </c>
      <c r="H20" s="58"/>
      <c r="I20" s="17" t="s">
        <v>30</v>
      </c>
    </row>
    <row r="21" spans="1:9" ht="14.5" customHeight="1" x14ac:dyDescent="0.35">
      <c r="A21" s="16" t="s">
        <v>25</v>
      </c>
      <c r="B21" s="8">
        <v>15</v>
      </c>
      <c r="C21" s="9">
        <v>0.23449999999999999</v>
      </c>
      <c r="D21" s="9">
        <v>0.09</v>
      </c>
      <c r="E21" s="59" t="s">
        <v>11</v>
      </c>
      <c r="F21" s="59"/>
      <c r="G21" s="58">
        <v>1.95E-2</v>
      </c>
      <c r="H21" s="58"/>
      <c r="I21" s="17" t="s">
        <v>31</v>
      </c>
    </row>
    <row r="22" spans="1:9" ht="14.5" customHeight="1" x14ac:dyDescent="0.35">
      <c r="A22" s="16" t="s">
        <v>25</v>
      </c>
      <c r="B22" s="8">
        <v>18</v>
      </c>
      <c r="C22" s="9">
        <v>0.30249999999999999</v>
      </c>
      <c r="D22" s="9">
        <v>0</v>
      </c>
      <c r="E22" s="59" t="s">
        <v>11</v>
      </c>
      <c r="F22" s="59"/>
      <c r="G22" s="58" t="s">
        <v>11</v>
      </c>
      <c r="H22" s="58"/>
      <c r="I22" s="17" t="s">
        <v>32</v>
      </c>
    </row>
    <row r="23" spans="1:9" ht="14.5" customHeight="1" x14ac:dyDescent="0.35">
      <c r="A23" s="16" t="s">
        <v>25</v>
      </c>
      <c r="B23" s="8">
        <v>18</v>
      </c>
      <c r="C23" s="9">
        <v>0.30249999999999999</v>
      </c>
      <c r="D23" s="9">
        <v>0.15</v>
      </c>
      <c r="E23" s="59">
        <v>3.0598E-2</v>
      </c>
      <c r="F23" s="59"/>
      <c r="G23" s="58">
        <v>7.0199999999999999E-2</v>
      </c>
      <c r="H23" s="58"/>
      <c r="I23" s="17" t="s">
        <v>33</v>
      </c>
    </row>
    <row r="24" spans="1:9" ht="14.5" customHeight="1" x14ac:dyDescent="0.35">
      <c r="A24" s="16" t="s">
        <v>25</v>
      </c>
      <c r="B24" s="8">
        <v>20</v>
      </c>
      <c r="C24" s="9">
        <v>0.33500000000000002</v>
      </c>
      <c r="D24" s="9">
        <v>0</v>
      </c>
      <c r="E24" s="59" t="s">
        <v>11</v>
      </c>
      <c r="F24" s="59"/>
      <c r="G24" s="58" t="s">
        <v>11</v>
      </c>
      <c r="H24" s="58"/>
      <c r="I24" s="17" t="s">
        <v>34</v>
      </c>
    </row>
    <row r="25" spans="1:9" ht="14.5" customHeight="1" x14ac:dyDescent="0.35">
      <c r="A25" s="16" t="s">
        <v>25</v>
      </c>
      <c r="B25" s="8">
        <v>20</v>
      </c>
      <c r="C25" s="9">
        <v>0.33500000000000002</v>
      </c>
      <c r="D25" s="9">
        <v>0.18</v>
      </c>
      <c r="E25" s="59">
        <v>8.9997999999999995E-2</v>
      </c>
      <c r="F25" s="59"/>
      <c r="G25" s="58">
        <v>0.1</v>
      </c>
      <c r="H25" s="58"/>
      <c r="I25" s="17" t="s">
        <v>35</v>
      </c>
    </row>
    <row r="26" spans="1:9" ht="14.5" customHeight="1" x14ac:dyDescent="0.35">
      <c r="A26" s="18" t="s">
        <v>36</v>
      </c>
      <c r="B26" s="8">
        <v>1</v>
      </c>
      <c r="C26" s="9">
        <v>0</v>
      </c>
      <c r="D26" s="10">
        <v>-0.15</v>
      </c>
      <c r="E26" s="59" t="s">
        <v>11</v>
      </c>
      <c r="F26" s="57"/>
      <c r="G26" s="58" t="s">
        <v>11</v>
      </c>
      <c r="H26" s="58"/>
      <c r="I26" s="19" t="s">
        <v>13</v>
      </c>
    </row>
    <row r="27" spans="1:9" ht="14.5" customHeight="1" x14ac:dyDescent="0.35">
      <c r="A27" s="18" t="s">
        <v>36</v>
      </c>
      <c r="B27" s="8">
        <v>3</v>
      </c>
      <c r="C27" s="9">
        <v>2.9499999999999998E-2</v>
      </c>
      <c r="D27" s="10">
        <v>-0.04</v>
      </c>
      <c r="E27" s="57">
        <v>0</v>
      </c>
      <c r="F27" s="58"/>
      <c r="G27" s="58">
        <v>0</v>
      </c>
      <c r="H27" s="58"/>
      <c r="I27" s="19" t="s">
        <v>37</v>
      </c>
    </row>
    <row r="28" spans="1:9" ht="14.5" customHeight="1" x14ac:dyDescent="0.35">
      <c r="A28" s="18" t="s">
        <v>36</v>
      </c>
      <c r="B28" s="8">
        <v>6</v>
      </c>
      <c r="C28" s="9">
        <v>5.2999999999999999E-2</v>
      </c>
      <c r="D28" s="9">
        <v>0</v>
      </c>
      <c r="E28" s="57">
        <v>0</v>
      </c>
      <c r="F28" s="58"/>
      <c r="G28" s="58">
        <v>0</v>
      </c>
      <c r="H28" s="58"/>
      <c r="I28" s="19" t="s">
        <v>38</v>
      </c>
    </row>
    <row r="29" spans="1:9" ht="14.5" customHeight="1" x14ac:dyDescent="0.35">
      <c r="A29" s="18" t="s">
        <v>36</v>
      </c>
      <c r="B29" s="8">
        <v>9</v>
      </c>
      <c r="C29" s="9">
        <v>8.1000000000000003E-2</v>
      </c>
      <c r="D29" s="9">
        <v>0</v>
      </c>
      <c r="E29" s="57">
        <v>0</v>
      </c>
      <c r="F29" s="58"/>
      <c r="G29" s="58">
        <v>0</v>
      </c>
      <c r="H29" s="58"/>
      <c r="I29" s="19" t="s">
        <v>39</v>
      </c>
    </row>
    <row r="30" spans="1:9" ht="14.5" customHeight="1" x14ac:dyDescent="0.35">
      <c r="A30" s="18" t="s">
        <v>36</v>
      </c>
      <c r="B30" s="8">
        <v>9</v>
      </c>
      <c r="C30" s="9">
        <v>8.1000000000000003E-2</v>
      </c>
      <c r="D30" s="9">
        <v>0.05</v>
      </c>
      <c r="E30" s="57" t="s">
        <v>11</v>
      </c>
      <c r="F30" s="58"/>
      <c r="G30" s="58" t="s">
        <v>11</v>
      </c>
      <c r="H30" s="58"/>
      <c r="I30" s="19" t="s">
        <v>40</v>
      </c>
    </row>
    <row r="31" spans="1:9" ht="14.5" customHeight="1" x14ac:dyDescent="0.35">
      <c r="A31" s="18" t="s">
        <v>36</v>
      </c>
      <c r="B31" s="8">
        <v>10</v>
      </c>
      <c r="C31" s="9">
        <v>9.9000000000000005E-2</v>
      </c>
      <c r="D31" s="9">
        <v>0</v>
      </c>
      <c r="E31" s="58" t="s">
        <v>11</v>
      </c>
      <c r="F31" s="58"/>
      <c r="G31" s="58">
        <v>0</v>
      </c>
      <c r="H31" s="59"/>
      <c r="I31" s="19" t="s">
        <v>41</v>
      </c>
    </row>
    <row r="32" spans="1:9" ht="14.5" customHeight="1" x14ac:dyDescent="0.35">
      <c r="A32" s="18" t="s">
        <v>36</v>
      </c>
      <c r="B32" s="8">
        <v>10</v>
      </c>
      <c r="C32" s="9">
        <v>9.9000000000000005E-2</v>
      </c>
      <c r="D32" s="9">
        <v>0.05</v>
      </c>
      <c r="E32" s="59" t="s">
        <v>11</v>
      </c>
      <c r="F32" s="58"/>
      <c r="G32" s="58" t="s">
        <v>11</v>
      </c>
      <c r="H32" s="59"/>
      <c r="I32" s="19" t="s">
        <v>42</v>
      </c>
    </row>
    <row r="33" spans="1:9" ht="14.5" customHeight="1" x14ac:dyDescent="0.35">
      <c r="A33" s="18" t="s">
        <v>36</v>
      </c>
      <c r="B33" s="8">
        <v>12</v>
      </c>
      <c r="C33" s="9">
        <v>0.151</v>
      </c>
      <c r="D33" s="9">
        <v>0</v>
      </c>
      <c r="E33" s="57">
        <v>0</v>
      </c>
      <c r="F33" s="58"/>
      <c r="G33" s="58" t="s">
        <v>11</v>
      </c>
      <c r="H33" s="58"/>
      <c r="I33" s="20" t="s">
        <v>43</v>
      </c>
    </row>
    <row r="34" spans="1:9" ht="14.5" customHeight="1" x14ac:dyDescent="0.35">
      <c r="A34" s="18" t="s">
        <v>36</v>
      </c>
      <c r="B34" s="8">
        <v>12</v>
      </c>
      <c r="C34" s="9">
        <v>0.151</v>
      </c>
      <c r="D34" s="9">
        <v>7.0000000000000007E-2</v>
      </c>
      <c r="E34" s="57" t="s">
        <v>11</v>
      </c>
      <c r="F34" s="58"/>
      <c r="G34" s="58">
        <v>0.09</v>
      </c>
      <c r="H34" s="60"/>
      <c r="I34" s="20" t="s">
        <v>44</v>
      </c>
    </row>
    <row r="35" spans="1:9" ht="14.5" customHeight="1" x14ac:dyDescent="0.35">
      <c r="A35" s="18" t="s">
        <v>36</v>
      </c>
      <c r="B35" s="8">
        <v>15</v>
      </c>
      <c r="C35" s="9">
        <v>0.22700000000000001</v>
      </c>
      <c r="D35" s="9">
        <v>0</v>
      </c>
      <c r="E35" s="57" t="s">
        <v>11</v>
      </c>
      <c r="F35" s="58"/>
      <c r="G35" s="58" t="s">
        <v>11</v>
      </c>
      <c r="H35" s="59"/>
      <c r="I35" s="20" t="s">
        <v>45</v>
      </c>
    </row>
    <row r="36" spans="1:9" ht="14.5" customHeight="1" x14ac:dyDescent="0.35">
      <c r="A36" s="18" t="s">
        <v>36</v>
      </c>
      <c r="B36" s="8">
        <v>15</v>
      </c>
      <c r="C36" s="9">
        <v>0.22700000000000001</v>
      </c>
      <c r="D36" s="9">
        <v>0.09</v>
      </c>
      <c r="E36" s="57" t="s">
        <v>11</v>
      </c>
      <c r="F36" s="59"/>
      <c r="G36" s="58" t="s">
        <v>11</v>
      </c>
      <c r="H36" s="59"/>
      <c r="I36" s="20" t="s">
        <v>46</v>
      </c>
    </row>
    <row r="37" spans="1:9" ht="14.5" customHeight="1" x14ac:dyDescent="0.35">
      <c r="A37" s="18" t="s">
        <v>36</v>
      </c>
      <c r="B37" s="8">
        <v>18</v>
      </c>
      <c r="C37" s="9">
        <v>0.31950000000000001</v>
      </c>
      <c r="D37" s="9">
        <v>0</v>
      </c>
      <c r="E37" s="59" t="s">
        <v>11</v>
      </c>
      <c r="F37" s="59"/>
      <c r="G37" s="58" t="s">
        <v>11</v>
      </c>
      <c r="H37" s="59"/>
      <c r="I37" s="20" t="s">
        <v>47</v>
      </c>
    </row>
    <row r="38" spans="1:9" ht="14.5" customHeight="1" x14ac:dyDescent="0.35">
      <c r="A38" s="18" t="s">
        <v>36</v>
      </c>
      <c r="B38" s="8">
        <v>18</v>
      </c>
      <c r="C38" s="9">
        <v>0.31950000000000001</v>
      </c>
      <c r="D38" s="9">
        <v>0.18</v>
      </c>
      <c r="E38" s="59" t="s">
        <v>11</v>
      </c>
      <c r="F38" s="59"/>
      <c r="G38" s="58" t="s">
        <v>11</v>
      </c>
      <c r="H38" s="59"/>
      <c r="I38" s="20" t="s">
        <v>48</v>
      </c>
    </row>
    <row r="39" spans="1:9" ht="14.5" customHeight="1" x14ac:dyDescent="0.35">
      <c r="A39" s="21" t="s">
        <v>49</v>
      </c>
      <c r="B39" s="8">
        <v>1</v>
      </c>
      <c r="C39" s="9">
        <v>0</v>
      </c>
      <c r="D39" s="10">
        <v>-0.15</v>
      </c>
      <c r="E39" s="57" t="s">
        <v>11</v>
      </c>
      <c r="F39" s="57"/>
      <c r="G39" s="58" t="s">
        <v>11</v>
      </c>
      <c r="H39" s="58"/>
      <c r="I39" s="22" t="s">
        <v>13</v>
      </c>
    </row>
    <row r="40" spans="1:9" ht="14.5" customHeight="1" x14ac:dyDescent="0.35">
      <c r="A40" s="21" t="s">
        <v>49</v>
      </c>
      <c r="B40" s="8">
        <v>3</v>
      </c>
      <c r="C40" s="9">
        <v>7.6499999999999999E-2</v>
      </c>
      <c r="D40" s="10">
        <v>-0.04</v>
      </c>
      <c r="E40" s="57" t="s">
        <v>11</v>
      </c>
      <c r="F40" s="58"/>
      <c r="G40" s="58" t="s">
        <v>11</v>
      </c>
      <c r="H40" s="58"/>
      <c r="I40" s="22" t="s">
        <v>50</v>
      </c>
    </row>
    <row r="41" spans="1:9" ht="14.5" customHeight="1" x14ac:dyDescent="0.35">
      <c r="A41" s="21" t="s">
        <v>49</v>
      </c>
      <c r="B41" s="8">
        <v>6</v>
      </c>
      <c r="C41" s="9">
        <v>0.14000000000000001</v>
      </c>
      <c r="D41" s="9">
        <v>0</v>
      </c>
      <c r="E41" s="57" t="s">
        <v>11</v>
      </c>
      <c r="F41" s="58"/>
      <c r="G41" s="58" t="s">
        <v>11</v>
      </c>
      <c r="H41" s="58"/>
      <c r="I41" s="22" t="s">
        <v>51</v>
      </c>
    </row>
    <row r="42" spans="1:9" ht="14.5" customHeight="1" x14ac:dyDescent="0.35">
      <c r="A42" s="21" t="s">
        <v>49</v>
      </c>
      <c r="B42" s="8">
        <v>9</v>
      </c>
      <c r="C42" s="9">
        <v>0.2135</v>
      </c>
      <c r="D42" s="9">
        <v>0</v>
      </c>
      <c r="E42" s="57" t="s">
        <v>11</v>
      </c>
      <c r="F42" s="58"/>
      <c r="G42" s="58" t="s">
        <v>11</v>
      </c>
      <c r="H42" s="58"/>
      <c r="I42" s="22" t="s">
        <v>52</v>
      </c>
    </row>
    <row r="43" spans="1:9" ht="14.5" customHeight="1" x14ac:dyDescent="0.35">
      <c r="A43" s="21" t="s">
        <v>49</v>
      </c>
      <c r="B43" s="8">
        <v>9</v>
      </c>
      <c r="C43" s="9">
        <v>0.2135</v>
      </c>
      <c r="D43" s="9">
        <v>7.0000000000000007E-2</v>
      </c>
      <c r="E43" s="57" t="s">
        <v>11</v>
      </c>
      <c r="F43" s="58"/>
      <c r="G43" s="58" t="s">
        <v>11</v>
      </c>
      <c r="H43" s="58"/>
      <c r="I43" s="22" t="s">
        <v>53</v>
      </c>
    </row>
    <row r="44" spans="1:9" ht="14.5" customHeight="1" x14ac:dyDescent="0.35">
      <c r="A44" s="21" t="s">
        <v>49</v>
      </c>
      <c r="B44" s="8">
        <v>12</v>
      </c>
      <c r="C44" s="9">
        <v>0.27900000000000003</v>
      </c>
      <c r="D44" s="9">
        <v>0</v>
      </c>
      <c r="E44" s="57" t="s">
        <v>11</v>
      </c>
      <c r="F44" s="58"/>
      <c r="G44" s="58" t="s">
        <v>11</v>
      </c>
      <c r="H44" s="59"/>
      <c r="I44" s="23" t="s">
        <v>54</v>
      </c>
    </row>
    <row r="45" spans="1:9" ht="14.5" customHeight="1" x14ac:dyDescent="0.35">
      <c r="A45" s="21" t="s">
        <v>49</v>
      </c>
      <c r="B45" s="8">
        <v>12</v>
      </c>
      <c r="C45" s="9">
        <v>0.27900000000000003</v>
      </c>
      <c r="D45" s="9">
        <v>0.12</v>
      </c>
      <c r="E45" s="57" t="s">
        <v>11</v>
      </c>
      <c r="F45" s="59"/>
      <c r="G45" s="58" t="s">
        <v>11</v>
      </c>
      <c r="H45" s="58"/>
      <c r="I45" s="22" t="s">
        <v>55</v>
      </c>
    </row>
    <row r="46" spans="1:9" ht="14.5" customHeight="1" x14ac:dyDescent="0.35">
      <c r="A46" s="21" t="s">
        <v>49</v>
      </c>
      <c r="B46" s="8">
        <v>18</v>
      </c>
      <c r="C46" s="9">
        <v>0.42449999999999999</v>
      </c>
      <c r="D46" s="9">
        <v>0.25</v>
      </c>
      <c r="E46" s="59" t="s">
        <v>11</v>
      </c>
      <c r="F46" s="59"/>
      <c r="G46" s="58" t="s">
        <v>11</v>
      </c>
      <c r="H46" s="59"/>
      <c r="I46" s="23" t="s">
        <v>56</v>
      </c>
    </row>
    <row r="47" spans="1:9" ht="14.5" customHeight="1" x14ac:dyDescent="0.35">
      <c r="A47" s="21" t="s">
        <v>49</v>
      </c>
      <c r="B47" s="8">
        <v>24</v>
      </c>
      <c r="C47" s="9">
        <v>0.58199999999999996</v>
      </c>
      <c r="D47" s="9">
        <v>0.39</v>
      </c>
      <c r="E47" s="59" t="s">
        <v>11</v>
      </c>
      <c r="F47" s="59"/>
      <c r="G47" s="58" t="s">
        <v>11</v>
      </c>
      <c r="H47" s="59"/>
      <c r="I47" s="23" t="s">
        <v>57</v>
      </c>
    </row>
    <row r="48" spans="1:9" ht="14.5" hidden="1" customHeight="1" x14ac:dyDescent="0.35">
      <c r="A48" s="24" t="s">
        <v>58</v>
      </c>
      <c r="B48" s="8">
        <v>3</v>
      </c>
      <c r="C48" s="9">
        <v>0.10299999999999999</v>
      </c>
      <c r="D48" s="10">
        <v>-0.04</v>
      </c>
      <c r="E48" s="57" t="s">
        <v>11</v>
      </c>
      <c r="F48" s="57"/>
      <c r="G48" s="58" t="s">
        <v>11</v>
      </c>
      <c r="H48" s="58"/>
      <c r="I48" s="25" t="s">
        <v>59</v>
      </c>
    </row>
    <row r="49" spans="1:9" ht="14.5" hidden="1" customHeight="1" x14ac:dyDescent="0.35">
      <c r="A49" s="24" t="s">
        <v>58</v>
      </c>
      <c r="B49" s="8">
        <v>6</v>
      </c>
      <c r="C49" s="9">
        <v>0.17199999999999999</v>
      </c>
      <c r="D49" s="9">
        <v>0</v>
      </c>
      <c r="E49" s="57" t="s">
        <v>11</v>
      </c>
      <c r="F49" s="57"/>
      <c r="G49" s="58" t="s">
        <v>11</v>
      </c>
      <c r="H49" s="58"/>
      <c r="I49" s="25" t="s">
        <v>60</v>
      </c>
    </row>
    <row r="50" spans="1:9" ht="14.5" hidden="1" customHeight="1" x14ac:dyDescent="0.35">
      <c r="A50" s="24" t="s">
        <v>58</v>
      </c>
      <c r="B50" s="8">
        <v>9</v>
      </c>
      <c r="C50" s="9">
        <v>0.24349999999999999</v>
      </c>
      <c r="D50" s="9">
        <v>0</v>
      </c>
      <c r="E50" s="57" t="s">
        <v>11</v>
      </c>
      <c r="F50" s="57"/>
      <c r="G50" s="58" t="s">
        <v>11</v>
      </c>
      <c r="H50" s="58"/>
      <c r="I50" s="25" t="s">
        <v>61</v>
      </c>
    </row>
    <row r="51" spans="1:9" ht="14.5" hidden="1" customHeight="1" x14ac:dyDescent="0.35">
      <c r="A51" s="24" t="s">
        <v>58</v>
      </c>
      <c r="B51" s="8">
        <v>9</v>
      </c>
      <c r="C51" s="9">
        <v>0.24349999999999999</v>
      </c>
      <c r="D51" s="9">
        <v>0.05</v>
      </c>
      <c r="E51" s="57" t="s">
        <v>11</v>
      </c>
      <c r="F51" s="57"/>
      <c r="G51" s="58" t="s">
        <v>11</v>
      </c>
      <c r="H51" s="58"/>
      <c r="I51" s="25" t="s">
        <v>62</v>
      </c>
    </row>
    <row r="52" spans="1:9" ht="14.5" hidden="1" customHeight="1" x14ac:dyDescent="0.35">
      <c r="A52" s="24" t="s">
        <v>58</v>
      </c>
      <c r="B52" s="8">
        <v>12</v>
      </c>
      <c r="C52" s="9">
        <v>0.3175</v>
      </c>
      <c r="D52" s="9">
        <v>0</v>
      </c>
      <c r="E52" s="57" t="s">
        <v>11</v>
      </c>
      <c r="F52" s="57"/>
      <c r="G52" s="58" t="s">
        <v>11</v>
      </c>
      <c r="H52" s="58"/>
      <c r="I52" s="25" t="s">
        <v>63</v>
      </c>
    </row>
    <row r="53" spans="1:9" ht="14.5" hidden="1" customHeight="1" x14ac:dyDescent="0.35">
      <c r="A53" s="24" t="s">
        <v>58</v>
      </c>
      <c r="B53" s="8">
        <v>12</v>
      </c>
      <c r="C53" s="9">
        <v>0.3175</v>
      </c>
      <c r="D53" s="9">
        <v>0.12</v>
      </c>
      <c r="E53" s="59" t="s">
        <v>11</v>
      </c>
      <c r="F53" s="57"/>
      <c r="G53" s="58" t="s">
        <v>11</v>
      </c>
      <c r="H53" s="58"/>
      <c r="I53" s="25" t="s">
        <v>64</v>
      </c>
    </row>
    <row r="54" spans="1:9" ht="14.5" customHeight="1" x14ac:dyDescent="0.35">
      <c r="A54" s="26" t="s">
        <v>65</v>
      </c>
      <c r="B54" s="8">
        <v>1</v>
      </c>
      <c r="C54" s="9">
        <v>6.0999999999999999E-2</v>
      </c>
      <c r="D54" s="10">
        <v>-7.0000000000000007E-2</v>
      </c>
      <c r="E54" s="57" t="s">
        <v>11</v>
      </c>
      <c r="F54" s="59"/>
      <c r="G54" s="58" t="s">
        <v>11</v>
      </c>
      <c r="H54" s="58"/>
      <c r="I54" s="27" t="s">
        <v>66</v>
      </c>
    </row>
    <row r="55" spans="1:9" ht="14.5" customHeight="1" x14ac:dyDescent="0.35">
      <c r="A55" s="26" t="s">
        <v>65</v>
      </c>
      <c r="B55" s="8">
        <v>3</v>
      </c>
      <c r="C55" s="9">
        <v>0.1</v>
      </c>
      <c r="D55" s="9">
        <v>0</v>
      </c>
      <c r="E55" s="57" t="s">
        <v>11</v>
      </c>
      <c r="F55" s="57"/>
      <c r="G55" s="58" t="s">
        <v>11</v>
      </c>
      <c r="H55" s="58"/>
      <c r="I55" s="27" t="s">
        <v>67</v>
      </c>
    </row>
    <row r="56" spans="1:9" ht="14.5" customHeight="1" x14ac:dyDescent="0.35">
      <c r="A56" s="26" t="s">
        <v>65</v>
      </c>
      <c r="B56" s="8">
        <v>6</v>
      </c>
      <c r="C56" s="9">
        <v>0.20749999999999999</v>
      </c>
      <c r="D56" s="9">
        <v>0.06</v>
      </c>
      <c r="E56" s="57" t="s">
        <v>11</v>
      </c>
      <c r="F56" s="57"/>
      <c r="G56" s="58" t="s">
        <v>11</v>
      </c>
      <c r="H56" s="58"/>
      <c r="I56" s="27" t="s">
        <v>68</v>
      </c>
    </row>
    <row r="57" spans="1:9" ht="14.5" customHeight="1" x14ac:dyDescent="0.35">
      <c r="A57" s="28" t="s">
        <v>69</v>
      </c>
      <c r="B57" s="8">
        <v>1</v>
      </c>
      <c r="C57" s="9">
        <v>0.03</v>
      </c>
      <c r="D57" s="10">
        <v>-0.09</v>
      </c>
      <c r="E57" s="57" t="s">
        <v>11</v>
      </c>
      <c r="F57" s="57"/>
      <c r="G57" s="58" t="s">
        <v>11</v>
      </c>
      <c r="H57" s="58"/>
      <c r="I57" s="29" t="s">
        <v>66</v>
      </c>
    </row>
    <row r="58" spans="1:9" ht="14.5" customHeight="1" x14ac:dyDescent="0.35">
      <c r="A58" s="28" t="s">
        <v>69</v>
      </c>
      <c r="B58" s="8">
        <v>3</v>
      </c>
      <c r="C58" s="9">
        <v>4.2000000000000003E-2</v>
      </c>
      <c r="D58" s="10">
        <v>-0.04</v>
      </c>
      <c r="E58" s="57" t="s">
        <v>11</v>
      </c>
      <c r="F58" s="57"/>
      <c r="G58" s="58" t="s">
        <v>11</v>
      </c>
      <c r="H58" s="58"/>
      <c r="I58" s="29" t="s">
        <v>70</v>
      </c>
    </row>
    <row r="59" spans="1:9" ht="14.5" customHeight="1" x14ac:dyDescent="0.35">
      <c r="A59" s="28" t="s">
        <v>69</v>
      </c>
      <c r="B59" s="8">
        <v>6</v>
      </c>
      <c r="C59" s="9">
        <v>4.2000000000000003E-2</v>
      </c>
      <c r="D59" s="9">
        <v>0</v>
      </c>
      <c r="E59" s="57" t="s">
        <v>11</v>
      </c>
      <c r="F59" s="57"/>
      <c r="G59" s="58" t="s">
        <v>11</v>
      </c>
      <c r="H59" s="58"/>
      <c r="I59" s="29" t="s">
        <v>71</v>
      </c>
    </row>
    <row r="60" spans="1:9" ht="14.5" customHeight="1" x14ac:dyDescent="0.35">
      <c r="A60" s="28" t="s">
        <v>69</v>
      </c>
      <c r="B60" s="8">
        <v>9</v>
      </c>
      <c r="C60" s="9">
        <v>0.17</v>
      </c>
      <c r="D60" s="9">
        <v>0</v>
      </c>
      <c r="E60" s="57" t="s">
        <v>11</v>
      </c>
      <c r="F60" s="57"/>
      <c r="G60" s="58" t="s">
        <v>11</v>
      </c>
      <c r="H60" s="58"/>
      <c r="I60" s="29" t="s">
        <v>72</v>
      </c>
    </row>
    <row r="61" spans="1:9" ht="14.5" customHeight="1" x14ac:dyDescent="0.35">
      <c r="A61" s="28" t="s">
        <v>69</v>
      </c>
      <c r="B61" s="8">
        <v>9</v>
      </c>
      <c r="C61" s="9">
        <v>0.17</v>
      </c>
      <c r="D61" s="9">
        <v>0.05</v>
      </c>
      <c r="E61" s="57" t="s">
        <v>11</v>
      </c>
      <c r="F61" s="59"/>
      <c r="G61" s="58" t="s">
        <v>11</v>
      </c>
      <c r="H61" s="58"/>
      <c r="I61" s="29" t="s">
        <v>73</v>
      </c>
    </row>
    <row r="62" spans="1:9" ht="14.5" customHeight="1" x14ac:dyDescent="0.35">
      <c r="A62" s="28" t="s">
        <v>69</v>
      </c>
      <c r="B62" s="8">
        <v>12</v>
      </c>
      <c r="C62" s="9">
        <v>0.29899999999999999</v>
      </c>
      <c r="D62" s="9">
        <v>0</v>
      </c>
      <c r="E62" s="57" t="s">
        <v>11</v>
      </c>
      <c r="F62" s="59"/>
      <c r="G62" s="58" t="s">
        <v>11</v>
      </c>
      <c r="H62" s="58"/>
      <c r="I62" s="29" t="s">
        <v>74</v>
      </c>
    </row>
    <row r="63" spans="1:9" ht="14.5" customHeight="1" x14ac:dyDescent="0.35">
      <c r="A63" s="28" t="s">
        <v>69</v>
      </c>
      <c r="B63" s="8">
        <v>12</v>
      </c>
      <c r="C63" s="9">
        <v>0.29899999999999999</v>
      </c>
      <c r="D63" s="9">
        <v>0.15</v>
      </c>
      <c r="E63" s="57" t="s">
        <v>11</v>
      </c>
      <c r="F63" s="57"/>
      <c r="G63" s="60" t="s">
        <v>11</v>
      </c>
      <c r="H63" s="59"/>
      <c r="I63" s="31" t="s">
        <v>75</v>
      </c>
    </row>
    <row r="64" spans="1:9" ht="14.5" hidden="1" customHeight="1" x14ac:dyDescent="0.35">
      <c r="A64" s="32" t="s">
        <v>76</v>
      </c>
      <c r="B64" s="8">
        <v>9</v>
      </c>
      <c r="C64" s="9">
        <v>0.38600000000000001</v>
      </c>
      <c r="D64" s="9">
        <v>0.17</v>
      </c>
      <c r="E64" s="8" t="s">
        <v>11</v>
      </c>
      <c r="F64" s="15" t="s">
        <v>11</v>
      </c>
      <c r="G64" s="14" t="s">
        <v>11</v>
      </c>
      <c r="H64" s="14" t="s">
        <v>11</v>
      </c>
      <c r="I64" s="33" t="s">
        <v>77</v>
      </c>
    </row>
    <row r="65" spans="1:9" ht="14.5" hidden="1" customHeight="1" x14ac:dyDescent="0.35">
      <c r="A65" s="32" t="s">
        <v>76</v>
      </c>
      <c r="B65" s="8">
        <v>12</v>
      </c>
      <c r="C65" s="9">
        <v>0.52200000000000002</v>
      </c>
      <c r="D65" s="9">
        <v>0.28000000000000003</v>
      </c>
      <c r="E65" s="8" t="s">
        <v>11</v>
      </c>
      <c r="F65" s="8" t="s">
        <v>11</v>
      </c>
      <c r="G65" s="30" t="s">
        <v>11</v>
      </c>
      <c r="H65" s="15" t="s">
        <v>11</v>
      </c>
      <c r="I65" s="34" t="s">
        <v>78</v>
      </c>
    </row>
  </sheetData>
  <mergeCells count="1">
    <mergeCell ref="C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64"/>
  <sheetViews>
    <sheetView zoomScale="85" zoomScaleNormal="85" workbookViewId="0">
      <pane xSplit="2" topLeftCell="C1" activePane="topRight" state="frozen"/>
      <selection pane="topRight" activeCell="O14" sqref="O14"/>
    </sheetView>
  </sheetViews>
  <sheetFormatPr defaultColWidth="12.6328125" defaultRowHeight="15.75" customHeight="1" x14ac:dyDescent="0.25"/>
  <cols>
    <col min="1" max="1" width="21.26953125" customWidth="1"/>
    <col min="2" max="2" width="17" customWidth="1"/>
    <col min="4" max="4" width="15.36328125" bestFit="1" customWidth="1"/>
    <col min="6" max="6" width="15.36328125" bestFit="1" customWidth="1"/>
    <col min="8" max="8" width="15.36328125" bestFit="1" customWidth="1"/>
    <col min="10" max="10" width="15.36328125" bestFit="1" customWidth="1"/>
    <col min="12" max="12" width="15.36328125" bestFit="1" customWidth="1"/>
  </cols>
  <sheetData>
    <row r="1" spans="1:13" ht="14.5" customHeight="1" thickBot="1" x14ac:dyDescent="0.4">
      <c r="A1" s="2"/>
      <c r="B1" s="35" t="s">
        <v>79</v>
      </c>
      <c r="C1" s="64" t="s">
        <v>80</v>
      </c>
      <c r="D1" s="63"/>
      <c r="E1" s="66" t="s">
        <v>81</v>
      </c>
      <c r="F1" s="63"/>
      <c r="G1" s="65" t="s">
        <v>82</v>
      </c>
      <c r="H1" s="63"/>
      <c r="I1" s="69" t="s">
        <v>83</v>
      </c>
      <c r="J1" s="63"/>
      <c r="K1" s="67" t="s">
        <v>84</v>
      </c>
      <c r="L1" s="68"/>
    </row>
    <row r="2" spans="1:13" ht="14.5" customHeight="1" thickBot="1" x14ac:dyDescent="0.4">
      <c r="A2" s="1"/>
      <c r="B2" s="70" t="s">
        <v>87</v>
      </c>
      <c r="C2" s="2"/>
      <c r="D2" s="37" t="s">
        <v>85</v>
      </c>
      <c r="E2" s="2"/>
      <c r="F2" s="38" t="s">
        <v>85</v>
      </c>
      <c r="G2" s="2"/>
      <c r="H2" s="39" t="s">
        <v>85</v>
      </c>
      <c r="I2" s="2"/>
      <c r="J2" s="40" t="s">
        <v>85</v>
      </c>
      <c r="K2" s="2"/>
      <c r="L2" s="41" t="s">
        <v>85</v>
      </c>
    </row>
    <row r="3" spans="1:13" ht="14.5" customHeight="1" x14ac:dyDescent="0.35">
      <c r="A3" s="3" t="s">
        <v>86</v>
      </c>
      <c r="B3" s="42" t="s">
        <v>9</v>
      </c>
      <c r="C3" s="43">
        <f>Datos!E4</f>
        <v>55499</v>
      </c>
      <c r="D3" s="9" t="str">
        <f>IF(ISNUMBER($B$2),(C3/$B$2)-1,"INSERTAR COSTO")</f>
        <v>INSERTAR COSTO</v>
      </c>
      <c r="E3" s="44">
        <f>Datos!F4</f>
        <v>0</v>
      </c>
      <c r="F3" s="9" t="str">
        <f>IF(ISNUMBER($B$2),(E3/$B$2)-1,"INSERTAR COSTO")</f>
        <v>INSERTAR COSTO</v>
      </c>
      <c r="G3" s="45">
        <f>Datos!G4</f>
        <v>58608</v>
      </c>
      <c r="H3" s="9" t="str">
        <f>IF(ISNUMBER($B$2),(G3/$B$2)-1,"INSERTAR COSTO")</f>
        <v>INSERTAR COSTO</v>
      </c>
      <c r="I3" s="46">
        <f>Datos!H4</f>
        <v>0</v>
      </c>
      <c r="J3" s="9" t="str">
        <f>IF(ISNUMBER($B$2),(I3/$B$2)-1,"INSERTAR COSTO")</f>
        <v>INSERTAR COSTO</v>
      </c>
      <c r="K3" s="47"/>
      <c r="L3" s="9" t="str">
        <f>IF(ISNUMBER($B$2),(K3/$B$2)-1,"INSERTAR COSTO")</f>
        <v>INSERTAR COSTO</v>
      </c>
      <c r="M3" s="36">
        <f>K3*0.05</f>
        <v>0</v>
      </c>
    </row>
    <row r="4" spans="1:13" ht="14.5" customHeight="1" x14ac:dyDescent="0.35">
      <c r="A4" s="7" t="str">
        <f>Datos!A5</f>
        <v>VISA/MASTERCARD/AMEX</v>
      </c>
      <c r="B4" s="11" t="s">
        <v>13</v>
      </c>
      <c r="C4" s="48" t="str">
        <f>IF(ISNUMBER(Datos!E5),$C$3*(1-Datos!E5)/Datos!B5,"-")</f>
        <v>-</v>
      </c>
      <c r="D4" s="9" t="str">
        <f>IF(AND(ISNUMBER(C4),ISNUMBER($B$2)),((C4*Datos!$B5)/(1+Datos!$C5)/$B$2)-1,IF(ISNUMBER($B$2),"-","INSERTAR COSTO"))</f>
        <v>INSERTAR COSTO</v>
      </c>
      <c r="E4" s="48" t="str">
        <f>IF(ISNUMBER(Datos!F5),$E$3*(1-Datos!F5)/Datos!B5,"-")</f>
        <v>-</v>
      </c>
      <c r="F4" s="9" t="str">
        <f>IF(AND(ISNUMBER(E4),ISNUMBER($B$2)),((E4*Datos!$B5)/(1+Datos!$C5)/$B$2)-1,IF(ISNUMBER($B$2),"-","INSERTAR COSTO"))</f>
        <v>INSERTAR COSTO</v>
      </c>
      <c r="G4" s="48" t="str">
        <f>IF(ISNUMBER(Datos!G5),$G$3*(1-Datos!G5)/Datos!B5,"-")</f>
        <v>-</v>
      </c>
      <c r="H4" s="9" t="str">
        <f>IF(AND(ISNUMBER(G4),ISNUMBER($B$2)),((G4*Datos!$B5)/(1+Datos!$C5)/$B$2)-1,IF(ISNUMBER($B$2),"-","INSERTAR COSTO"))</f>
        <v>INSERTAR COSTO</v>
      </c>
      <c r="I4" s="8" t="str">
        <f>IF(ISNUMBER(Datos!H5),$I$3*(1-Datos!H5)/Datos!B5,"-")</f>
        <v>-</v>
      </c>
      <c r="J4" s="9" t="str">
        <f>IF(AND(ISNUMBER(I4),ISNUMBER($B$2)),((I4*Datos!$B5)/(1+Datos!$C5)/$B$2)-1,IF(ISNUMBER($B$2),"-","INSERTAR COSTO"))</f>
        <v>INSERTAR COSTO</v>
      </c>
      <c r="K4" s="48">
        <f>$K$3*(1+Datos!D5)/Datos!B5</f>
        <v>0</v>
      </c>
      <c r="L4" s="9" t="str">
        <f>IF(ISNUMBER($B$2),((K4*Datos!$B5)/(1+Datos!$C5)/$B$2)-1,"INSERTAR COSTO")</f>
        <v>INSERTAR COSTO</v>
      </c>
    </row>
    <row r="5" spans="1:13" ht="14.5" customHeight="1" x14ac:dyDescent="0.35">
      <c r="A5" s="12" t="str">
        <f>Datos!A6</f>
        <v>VISA/MASTER MACRO</v>
      </c>
      <c r="B5" s="12" t="s">
        <v>15</v>
      </c>
      <c r="C5" s="48" t="str">
        <f>IF(ISNUMBER(Datos!E6),$C$3*(1+Datos!E6)/Datos!B6,"-")</f>
        <v>-</v>
      </c>
      <c r="D5" s="9" t="str">
        <f>IF(AND(ISNUMBER(C5),ISNUMBER($B$2)),((C5*Datos!$B6)/(1+Datos!$C6)/$B$2)-1,IF(ISNUMBER($B$2),"-","INSERTAR COSTO"))</f>
        <v>INSERTAR COSTO</v>
      </c>
      <c r="E5" s="48" t="str">
        <f>IF(ISNUMBER(Datos!F6),$E$3*(1+Datos!F6)/Datos!B6,"-")</f>
        <v>-</v>
      </c>
      <c r="F5" s="9" t="str">
        <f>IF(AND(ISNUMBER(E5),ISNUMBER($B$2)),((E5*Datos!$B6)/(1+Datos!$C6)/$B$2)-1,IF(ISNUMBER($B$2),"-","INSERTAR COSTO"))</f>
        <v>INSERTAR COSTO</v>
      </c>
      <c r="G5" s="48">
        <f>IF(ISNUMBER(Datos!G6),$G$3*(1+Datos!G6)/Datos!B6,"-")</f>
        <v>19536</v>
      </c>
      <c r="H5" s="9" t="str">
        <f>IF(AND(ISNUMBER(G5),ISNUMBER($B$2)),((G5*Datos!$B6)/(1+Datos!$C6)/$B$2)-1,IF(ISNUMBER($B$2),"-","INSERTAR COSTO"))</f>
        <v>INSERTAR COSTO</v>
      </c>
      <c r="I5" s="48" t="str">
        <f>IF(ISNUMBER(Datos!H6),$I$3*(1+Datos!H6)/Datos!B6,"-")</f>
        <v>-</v>
      </c>
      <c r="J5" s="9" t="str">
        <f>IF(AND(ISNUMBER(I5),ISNUMBER($B$2)),((I5*Datos!$B6)/(1+Datos!$C6)/$B$2)-1,IF(ISNUMBER($B$2),"-","INSERTAR COSTO"))</f>
        <v>INSERTAR COSTO</v>
      </c>
      <c r="K5" s="48">
        <f>$K$3*(1+Datos!D6)/Datos!B6</f>
        <v>0</v>
      </c>
      <c r="L5" s="9" t="str">
        <f>IF(ISNUMBER($B$2),((K5*Datos!$B6)/(1+Datos!$C6)/$B$2)-1,"INSERTAR COSTO")</f>
        <v>INSERTAR COSTO</v>
      </c>
    </row>
    <row r="6" spans="1:13" ht="14.5" customHeight="1" x14ac:dyDescent="0.35">
      <c r="A6" s="12" t="str">
        <f>Datos!A7</f>
        <v>VISA/MASTER MACRO</v>
      </c>
      <c r="B6" s="12" t="s">
        <v>16</v>
      </c>
      <c r="C6" s="48" t="str">
        <f>IF(ISNUMBER(Datos!E7),$C$3*(1+Datos!E7)/Datos!B7,"-")</f>
        <v>-</v>
      </c>
      <c r="D6" s="9" t="str">
        <f>IF(AND(ISNUMBER(C6),ISNUMBER($B$2)),((C6*Datos!$B7)/(1+Datos!$C7)/$B$2)-1,IF(ISNUMBER($B$2),"-","INSERTAR COSTO"))</f>
        <v>INSERTAR COSTO</v>
      </c>
      <c r="E6" s="48" t="str">
        <f>IF(ISNUMBER(Datos!F7),$E$3*(1+Datos!F7)/Datos!B7,"-")</f>
        <v>-</v>
      </c>
      <c r="F6" s="9" t="str">
        <f>IF(AND(ISNUMBER(E6),ISNUMBER($B$2)),((E6*Datos!$B7)/(1+Datos!$C7)/$B$2)-1,IF(ISNUMBER($B$2),"-","INSERTAR COSTO"))</f>
        <v>INSERTAR COSTO</v>
      </c>
      <c r="G6" s="48">
        <f>IF(ISNUMBER(Datos!G7),$G$3*(1+Datos!G7)/Datos!B7,"-")</f>
        <v>9768</v>
      </c>
      <c r="H6" s="9" t="str">
        <f>IF(AND(ISNUMBER(G6),ISNUMBER($B$2)),((G6*Datos!$B7)/(1+Datos!$C7)/$B$2)-1,IF(ISNUMBER($B$2),"-","INSERTAR COSTO"))</f>
        <v>INSERTAR COSTO</v>
      </c>
      <c r="I6" s="48" t="str">
        <f>IF(ISNUMBER(Datos!H7),$I$3*(1+Datos!H7)/Datos!B7,"-")</f>
        <v>-</v>
      </c>
      <c r="J6" s="9" t="str">
        <f>IF(AND(ISNUMBER(I6),ISNUMBER($B$2)),((I6*Datos!$B7)/(1+Datos!$C7)/$B$2)-1,IF(ISNUMBER($B$2),"-","INSERTAR COSTO"))</f>
        <v>INSERTAR COSTO</v>
      </c>
      <c r="K6" s="48">
        <f>$K$3*(1+Datos!D7)/Datos!B7</f>
        <v>0</v>
      </c>
      <c r="L6" s="9" t="str">
        <f>IF(ISNUMBER($B$2),((K6*Datos!$B7)/(1+Datos!$C7)/$B$2)-1,"INSERTAR COSTO")</f>
        <v>INSERTAR COSTO</v>
      </c>
    </row>
    <row r="7" spans="1:13" ht="14.5" customHeight="1" x14ac:dyDescent="0.35">
      <c r="A7" s="12" t="str">
        <f>Datos!A8</f>
        <v>VISA/MASTER MACRO</v>
      </c>
      <c r="B7" s="12" t="s">
        <v>17</v>
      </c>
      <c r="C7" s="48" t="str">
        <f>IF(ISNUMBER(Datos!E8),$C$3*(1+Datos!E8)/Datos!B8,"-")</f>
        <v>-</v>
      </c>
      <c r="D7" s="9" t="str">
        <f>IF(AND(ISNUMBER(C7),ISNUMBER($B$2)),((C7*Datos!$B8)/(1+Datos!$C8)/$B$2)-1,IF(ISNUMBER($B$2),"-","INSERTAR COSTO"))</f>
        <v>INSERTAR COSTO</v>
      </c>
      <c r="E7" s="48" t="str">
        <f>IF(ISNUMBER(Datos!F8),$E$3*(1+Datos!F8)/Datos!B8,"-")</f>
        <v>-</v>
      </c>
      <c r="F7" s="9" t="str">
        <f>IF(AND(ISNUMBER(E7),ISNUMBER($B$2)),((E7*Datos!$B8)/(1+Datos!$C8)/$B$2)-1,IF(ISNUMBER($B$2),"-","INSERTAR COSTO"))</f>
        <v>INSERTAR COSTO</v>
      </c>
      <c r="G7" s="48">
        <f>IF(ISNUMBER(Datos!G8),$G$3*(1+Datos!G8)/Datos!B8,"-")</f>
        <v>6512</v>
      </c>
      <c r="H7" s="9" t="str">
        <f>IF(AND(ISNUMBER(G7),ISNUMBER($B$2)),((G7*Datos!$B8)/(1+Datos!$C8)/$B$2)-1,IF(ISNUMBER($B$2),"-","INSERTAR COSTO"))</f>
        <v>INSERTAR COSTO</v>
      </c>
      <c r="I7" s="48" t="str">
        <f>IF(ISNUMBER(Datos!H8),$I$3*(1+Datos!H8)/Datos!B8,"-")</f>
        <v>-</v>
      </c>
      <c r="J7" s="9" t="str">
        <f>IF(AND(ISNUMBER(I7),ISNUMBER($B$2)),((I7*Datos!$B8)/(1+Datos!$C8)/$B$2)-1,IF(ISNUMBER($B$2),"-","INSERTAR COSTO"))</f>
        <v>INSERTAR COSTO</v>
      </c>
      <c r="K7" s="48">
        <f>$K$3*(1+Datos!D8)/Datos!B8</f>
        <v>0</v>
      </c>
      <c r="L7" s="9" t="str">
        <f>IF(ISNUMBER($B$2),((K7*Datos!$B8)/(1+Datos!$C8)/$B$2)-1,"INSERTAR COSTO")</f>
        <v>INSERTAR COSTO</v>
      </c>
    </row>
    <row r="8" spans="1:13" ht="14.5" customHeight="1" x14ac:dyDescent="0.35">
      <c r="A8" s="12" t="str">
        <f>Datos!A9</f>
        <v>VISA/MASTER MACRO</v>
      </c>
      <c r="B8" s="12" t="s">
        <v>18</v>
      </c>
      <c r="C8" s="48" t="str">
        <f>IF(ISNUMBER(Datos!E9),$C$3*(1+Datos!E9)/Datos!B9,"-")</f>
        <v>-</v>
      </c>
      <c r="D8" s="9" t="str">
        <f>IF(AND(ISNUMBER(C8),ISNUMBER($B$2)),((C8*Datos!$B9)/(1+Datos!$C9)/$B$2)-1,IF(ISNUMBER($B$2),"-","INSERTAR COSTO"))</f>
        <v>INSERTAR COSTO</v>
      </c>
      <c r="E8" s="48" t="str">
        <f>IF(ISNUMBER(Datos!F9),$E$3*(1+Datos!F9)/Datos!B9,"-")</f>
        <v>-</v>
      </c>
      <c r="F8" s="9" t="str">
        <f>IF(AND(ISNUMBER(E8),ISNUMBER($B$2)),((E8*Datos!$B9)/(1+Datos!$C9)/$B$2)-1,IF(ISNUMBER($B$2),"-","INSERTAR COSTO"))</f>
        <v>INSERTAR COSTO</v>
      </c>
      <c r="G8" s="48" t="str">
        <f>IF(ISNUMBER(Datos!G9),$G$3*(1+Datos!G9)/Datos!B9,"-")</f>
        <v>-</v>
      </c>
      <c r="H8" s="9" t="str">
        <f>IF(AND(ISNUMBER(G8),ISNUMBER($B$2)),((G8*Datos!$B9)/(1+Datos!$C9)/$B$2)-1,IF(ISNUMBER($B$2),"-","INSERTAR COSTO"))</f>
        <v>INSERTAR COSTO</v>
      </c>
      <c r="I8" s="48" t="str">
        <f>IF(ISNUMBER(Datos!H9),$I$3*(1+Datos!H9)/Datos!B9,"-")</f>
        <v>-</v>
      </c>
      <c r="J8" s="9" t="str">
        <f>IF(AND(ISNUMBER(I8),ISNUMBER($B$2)),((I8*Datos!$B9)/(1+Datos!$C9)/$B$2)-1,IF(ISNUMBER($B$2),"-","INSERTAR COSTO"))</f>
        <v>INSERTAR COSTO</v>
      </c>
      <c r="K8" s="48">
        <f>$K$3*(1+Datos!D9)/Datos!B9</f>
        <v>0</v>
      </c>
      <c r="L8" s="9" t="str">
        <f>IF(ISNUMBER($B$2),((K8*Datos!$B9)/(1+Datos!$C9)/$B$2)-1,"INSERTAR COSTO")</f>
        <v>INSERTAR COSTO</v>
      </c>
    </row>
    <row r="9" spans="1:13" ht="14.5" customHeight="1" x14ac:dyDescent="0.35">
      <c r="A9" s="12" t="str">
        <f>Datos!A10</f>
        <v>VISA/MASTER MACRO</v>
      </c>
      <c r="B9" s="12" t="s">
        <v>19</v>
      </c>
      <c r="C9" s="48" t="str">
        <f>IF(ISNUMBER(Datos!E10),$C$3*(1+Datos!E10)/Datos!B10,"-")</f>
        <v>-</v>
      </c>
      <c r="D9" s="9" t="str">
        <f>IF(AND(ISNUMBER(C9),ISNUMBER($B$2)),((C9*Datos!$B10)/(1+Datos!$C10)/$B$2)-1,IF(ISNUMBER($B$2),"-","INSERTAR COSTO"))</f>
        <v>INSERTAR COSTO</v>
      </c>
      <c r="E9" s="48" t="str">
        <f>IF(ISNUMBER(Datos!F10),$E$3*(1+Datos!F10)/Datos!B10,"-")</f>
        <v>-</v>
      </c>
      <c r="F9" s="9" t="str">
        <f>IF(AND(ISNUMBER(E9),ISNUMBER($B$2)),((E9*Datos!$B10)/(1+Datos!$C10)/$B$2)-1,IF(ISNUMBER($B$2),"-","INSERTAR COSTO"))</f>
        <v>INSERTAR COSTO</v>
      </c>
      <c r="G9" s="48">
        <f>IF(ISNUMBER(Datos!G10),$G$3*(1+Datos!G10)/Datos!B10,"-")</f>
        <v>4884</v>
      </c>
      <c r="H9" s="9" t="str">
        <f>IF(AND(ISNUMBER(G9),ISNUMBER($B$2)),((G9*Datos!$B10)/(1+Datos!$C10)/$B$2)-1,IF(ISNUMBER($B$2),"-","INSERTAR COSTO"))</f>
        <v>INSERTAR COSTO</v>
      </c>
      <c r="I9" s="48" t="str">
        <f>IF(ISNUMBER(Datos!H10),$I$3*(1+Datos!H10)/Datos!B10,"-")</f>
        <v>-</v>
      </c>
      <c r="J9" s="9" t="str">
        <f>IF(AND(ISNUMBER(I9),ISNUMBER($B$2)),((I9*Datos!$B10)/(1+Datos!$C10)/$B$2)-1,IF(ISNUMBER($B$2),"-","INSERTAR COSTO"))</f>
        <v>INSERTAR COSTO</v>
      </c>
      <c r="K9" s="48">
        <f>$K$3*(1+Datos!D10)/Datos!B10</f>
        <v>0</v>
      </c>
      <c r="L9" s="9" t="str">
        <f>IF(ISNUMBER($B$2),((K9*Datos!$B10)/(1+Datos!$C10)/$B$2)-1,"INSERTAR COSTO")</f>
        <v>INSERTAR COSTO</v>
      </c>
    </row>
    <row r="10" spans="1:13" ht="14.5" customHeight="1" x14ac:dyDescent="0.35">
      <c r="A10" s="12" t="str">
        <f>Datos!A11</f>
        <v>VISA/MASTER MACRO</v>
      </c>
      <c r="B10" s="12" t="s">
        <v>20</v>
      </c>
      <c r="C10" s="48" t="str">
        <f>IF(ISNUMBER(Datos!E11),$C$3*(1+Datos!E11)/Datos!B11,"-")</f>
        <v>-</v>
      </c>
      <c r="D10" s="9" t="str">
        <f>IF(AND(ISNUMBER(C10),ISNUMBER($B$2)),((C10*Datos!$B11)/(1+Datos!$C11)/$B$2)-1,IF(ISNUMBER($B$2),"-","INSERTAR COSTO"))</f>
        <v>INSERTAR COSTO</v>
      </c>
      <c r="E10" s="48" t="str">
        <f>IF(ISNUMBER(Datos!F11),$E$3*(1+Datos!F11)/Datos!B11,"-")</f>
        <v>-</v>
      </c>
      <c r="F10" s="9" t="str">
        <f>IF(AND(ISNUMBER(E10),ISNUMBER($B$2)),((E10*Datos!$B11)/(1+Datos!$C11)/$B$2)-1,IF(ISNUMBER($B$2),"-","INSERTAR COSTO"))</f>
        <v>INSERTAR COSTO</v>
      </c>
      <c r="G10" s="48" t="str">
        <f>IF(ISNUMBER(Datos!G11),$G$3*(1+Datos!G11)/Datos!B11,"-")</f>
        <v>-</v>
      </c>
      <c r="H10" s="9" t="str">
        <f>IF(AND(ISNUMBER(G10),ISNUMBER($B$2)),((G10*Datos!$B11)/(1+Datos!$C11)/$B$2)-1,IF(ISNUMBER($B$2),"-","INSERTAR COSTO"))</f>
        <v>INSERTAR COSTO</v>
      </c>
      <c r="I10" s="48" t="str">
        <f>IF(ISNUMBER(Datos!H11),$I$3*(1+Datos!H11)/Datos!B11,"-")</f>
        <v>-</v>
      </c>
      <c r="J10" s="9" t="str">
        <f>IF(AND(ISNUMBER(I10),ISNUMBER($B$2)),((I10*Datos!$B11)/(1+Datos!$C11)/$B$2)-1,IF(ISNUMBER($B$2),"-","INSERTAR COSTO"))</f>
        <v>INSERTAR COSTO</v>
      </c>
      <c r="K10" s="48">
        <f>$K$3*(1+Datos!D11)/Datos!B11</f>
        <v>0</v>
      </c>
      <c r="L10" s="9" t="str">
        <f>IF(ISNUMBER($B$2),((K10*Datos!$B11)/(1+Datos!$C11)/$B$2)-1,"INSERTAR COSTO")</f>
        <v>INSERTAR COSTO</v>
      </c>
    </row>
    <row r="11" spans="1:13" ht="14.5" customHeight="1" x14ac:dyDescent="0.35">
      <c r="A11" s="12" t="str">
        <f>Datos!A12</f>
        <v>VISA/MASTER MACRO</v>
      </c>
      <c r="B11" s="12" t="s">
        <v>21</v>
      </c>
      <c r="C11" s="48" t="str">
        <f>IF(ISNUMBER(Datos!E12),$C$3*(1+Datos!E12)/Datos!B12,"-")</f>
        <v>-</v>
      </c>
      <c r="D11" s="9" t="str">
        <f>IF(AND(ISNUMBER(C11),ISNUMBER($B$2)),((C11*Datos!$B12)/(1+Datos!$C12)/$B$2)-1,IF(ISNUMBER($B$2),"-","INSERTAR COSTO"))</f>
        <v>INSERTAR COSTO</v>
      </c>
      <c r="E11" s="48" t="str">
        <f>IF(ISNUMBER(Datos!F12),$E$3*(1+Datos!F12)/Datos!B12,"-")</f>
        <v>-</v>
      </c>
      <c r="F11" s="9" t="str">
        <f>IF(AND(ISNUMBER(E11),ISNUMBER($B$2)),((E11*Datos!$B12)/(1+Datos!$C12)/$B$2)-1,IF(ISNUMBER($B$2),"-","INSERTAR COSTO"))</f>
        <v>INSERTAR COSTO</v>
      </c>
      <c r="G11" s="48" t="str">
        <f>IF(ISNUMBER(Datos!G12),$G$3*(1+Datos!G12)/Datos!B12,"-")</f>
        <v>-</v>
      </c>
      <c r="H11" s="9" t="str">
        <f>IF(AND(ISNUMBER(G11),ISNUMBER($B$2)),((G11*Datos!$B12)/(1+Datos!$C12)/$B$2)-1,IF(ISNUMBER($B$2),"-","INSERTAR COSTO"))</f>
        <v>INSERTAR COSTO</v>
      </c>
      <c r="I11" s="48" t="str">
        <f>IF(ISNUMBER(Datos!H12),$I$3*(1+Datos!H12)/Datos!B12,"-")</f>
        <v>-</v>
      </c>
      <c r="J11" s="9" t="str">
        <f>IF(AND(ISNUMBER(I11),ISNUMBER($B$2)),((I11*Datos!$B12)/(1+Datos!$C12)/$B$2)-1,IF(ISNUMBER($B$2),"-","INSERTAR COSTO"))</f>
        <v>INSERTAR COSTO</v>
      </c>
      <c r="K11" s="48">
        <f>$K$3*(1+Datos!D12)/Datos!B12</f>
        <v>0</v>
      </c>
      <c r="L11" s="9" t="str">
        <f>IF(ISNUMBER($B$2),((K11*Datos!$B12)/(1+Datos!$C12)/$B$2)-1,"INSERTAR COSTO")</f>
        <v>INSERTAR COSTO</v>
      </c>
    </row>
    <row r="12" spans="1:13" ht="14.5" customHeight="1" x14ac:dyDescent="0.35">
      <c r="A12" s="12" t="str">
        <f>Datos!A13</f>
        <v>VISA/MASTER MACRO</v>
      </c>
      <c r="B12" s="12" t="s">
        <v>22</v>
      </c>
      <c r="C12" s="48" t="str">
        <f>IF(ISNUMBER(Datos!E13),$C$3*(1+Datos!E13)/Datos!B13,"-")</f>
        <v>-</v>
      </c>
      <c r="D12" s="9" t="str">
        <f>IF(AND(ISNUMBER(C12),ISNUMBER($B$2)),((C12*Datos!$B13)/(1+Datos!$C13)/$B$2)-1,IF(ISNUMBER($B$2),"-","INSERTAR COSTO"))</f>
        <v>INSERTAR COSTO</v>
      </c>
      <c r="E12" s="48" t="str">
        <f>IF(ISNUMBER(Datos!F13),$E$3*(1+Datos!F13)/Datos!B13,"-")</f>
        <v>-</v>
      </c>
      <c r="F12" s="9" t="str">
        <f>IF(AND(ISNUMBER(E12),ISNUMBER($B$2)),((E12*Datos!$B13)/(1+Datos!$C13)/$B$2)-1,IF(ISNUMBER($B$2),"-","INSERTAR COSTO"))</f>
        <v>INSERTAR COSTO</v>
      </c>
      <c r="G12" s="48">
        <f>IF(ISNUMBER(Datos!G13),$G$3*(1+Datos!G13)/Datos!B13,"-")</f>
        <v>3983.3904000000007</v>
      </c>
      <c r="H12" s="9" t="str">
        <f>IF(AND(ISNUMBER(G12),ISNUMBER($B$2)),((G12*Datos!$B13)/(1+Datos!$C13)/$B$2)-1,IF(ISNUMBER($B$2),"-","INSERTAR COSTO"))</f>
        <v>INSERTAR COSTO</v>
      </c>
      <c r="I12" s="48" t="str">
        <f>IF(ISNUMBER(Datos!H13),$I$3*(1+Datos!H13)/Datos!B13,"-")</f>
        <v>-</v>
      </c>
      <c r="J12" s="9" t="str">
        <f>IF(AND(ISNUMBER(I12),ISNUMBER($B$2)),((I12*Datos!$B13)/(1+Datos!$C13)/$B$2)-1,IF(ISNUMBER($B$2),"-","INSERTAR COSTO"))</f>
        <v>INSERTAR COSTO</v>
      </c>
      <c r="K12" s="48">
        <f>$K$3*(1+Datos!D13)/Datos!B13</f>
        <v>0</v>
      </c>
      <c r="L12" s="9" t="str">
        <f>IF(ISNUMBER($B$2),((K12*Datos!$B13)/(1+Datos!$C13)/$B$2)-1,"INSERTAR COSTO")</f>
        <v>INSERTAR COSTO</v>
      </c>
    </row>
    <row r="13" spans="1:13" ht="14.5" customHeight="1" x14ac:dyDescent="0.35">
      <c r="A13" s="12" t="str">
        <f>Datos!A14</f>
        <v>VISA/MASTER MACRO</v>
      </c>
      <c r="B13" s="12" t="s">
        <v>23</v>
      </c>
      <c r="C13" s="48" t="str">
        <f>IF(ISNUMBER(Datos!E14),$C$3*(1+Datos!E14)/Datos!B14,"-")</f>
        <v>-</v>
      </c>
      <c r="D13" s="9" t="str">
        <f>IF(AND(ISNUMBER(C13),ISNUMBER($B$2)),((C13*Datos!$B14)/(1+Datos!$C14)/$B$2)-1,IF(ISNUMBER($B$2),"-","INSERTAR COSTO"))</f>
        <v>INSERTAR COSTO</v>
      </c>
      <c r="E13" s="48" t="str">
        <f>IF(ISNUMBER(Datos!F14),$E$3*(1+Datos!F14)/Datos!B14,"-")</f>
        <v>-</v>
      </c>
      <c r="F13" s="9" t="str">
        <f>IF(AND(ISNUMBER(E13),ISNUMBER($B$2)),((E13*Datos!$B14)/(1+Datos!$C14)/$B$2)-1,IF(ISNUMBER($B$2),"-","INSERTAR COSTO"))</f>
        <v>INSERTAR COSTO</v>
      </c>
      <c r="G13" s="48" t="str">
        <f>IF(ISNUMBER(Datos!G14),$G$3*(1+Datos!G14)/Datos!B14,"-")</f>
        <v>-</v>
      </c>
      <c r="H13" s="9" t="str">
        <f>IF(AND(ISNUMBER(G13),ISNUMBER($B$2)),((G13*Datos!$B14)/(1+Datos!$C14)/$B$2)-1,IF(ISNUMBER($B$2),"-","INSERTAR COSTO"))</f>
        <v>INSERTAR COSTO</v>
      </c>
      <c r="I13" s="48" t="str">
        <f>IF(ISNUMBER(Datos!H14),$I$3*(1+Datos!H14)/Datos!B14,"-")</f>
        <v>-</v>
      </c>
      <c r="J13" s="9" t="str">
        <f>IF(AND(ISNUMBER(I13),ISNUMBER($B$2)),((I13*Datos!$B14)/(1+Datos!$C14)/$B$2)-1,IF(ISNUMBER($B$2),"-","INSERTAR COSTO"))</f>
        <v>INSERTAR COSTO</v>
      </c>
      <c r="K13" s="48">
        <f>$K$3*(1+Datos!D14)/Datos!B14</f>
        <v>0</v>
      </c>
      <c r="L13" s="9" t="str">
        <f>IF(ISNUMBER($B$2),((K13*Datos!$B14)/(1+Datos!$C14)/$B$2)-1,"INSERTAR COSTO")</f>
        <v>INSERTAR COSTO</v>
      </c>
    </row>
    <row r="14" spans="1:13" ht="14.5" customHeight="1" x14ac:dyDescent="0.35">
      <c r="A14" s="12" t="str">
        <f>Datos!A15</f>
        <v>VISA/MASTER MACRO</v>
      </c>
      <c r="B14" s="12" t="s">
        <v>24</v>
      </c>
      <c r="C14" s="48" t="str">
        <f>IF(ISNUMBER(Datos!E15),$C$3*(1+Datos!E15)/Datos!B15,"-")</f>
        <v>-</v>
      </c>
      <c r="D14" s="9" t="str">
        <f>IF(AND(ISNUMBER(C14),ISNUMBER($B$2)),((C14*Datos!$B15)/(1+Datos!$C15)/$B$2)-1,IF(ISNUMBER($B$2),"-","INSERTAR COSTO"))</f>
        <v>INSERTAR COSTO</v>
      </c>
      <c r="E14" s="48" t="str">
        <f>IF(ISNUMBER(Datos!F15),$E$3*(1+Datos!F15)/Datos!B15,"-")</f>
        <v>-</v>
      </c>
      <c r="F14" s="9" t="str">
        <f>IF(AND(ISNUMBER(E14),ISNUMBER($B$2)),((E14*Datos!$B15)/(1+Datos!$C15)/$B$2)-1,IF(ISNUMBER($B$2),"-","INSERTAR COSTO"))</f>
        <v>INSERTAR COSTO</v>
      </c>
      <c r="G14" s="48">
        <f>IF(ISNUMBER(Datos!G15),$G$3*(1+Datos!G15)/Datos!B15,"-")</f>
        <v>3484.5712000000003</v>
      </c>
      <c r="H14" s="9" t="str">
        <f>IF(AND(ISNUMBER(G14),ISNUMBER($B$2)),((G14*Datos!$B15)/(1+Datos!$C15)/$B$2)-1,IF(ISNUMBER($B$2),"-","INSERTAR COSTO"))</f>
        <v>INSERTAR COSTO</v>
      </c>
      <c r="I14" s="48" t="str">
        <f>IF(ISNUMBER(Datos!H15),$I$3*(1+Datos!H15)/Datos!B15,"-")</f>
        <v>-</v>
      </c>
      <c r="J14" s="9" t="str">
        <f>IF(AND(ISNUMBER(I14),ISNUMBER($B$2)),((I14*Datos!$B15)/(1+Datos!$C15)/$B$2)-1,IF(ISNUMBER($B$2),"-","INSERTAR COSTO"))</f>
        <v>INSERTAR COSTO</v>
      </c>
      <c r="K14" s="48">
        <f>$K$3*(1+Datos!D15)/Datos!B15</f>
        <v>0</v>
      </c>
      <c r="L14" s="9" t="str">
        <f>IF(ISNUMBER($B$2),((K14*Datos!$B15)/(1+Datos!$C15)/$B$2)-1,"INSERTAR COSTO")</f>
        <v>INSERTAR COSTO</v>
      </c>
    </row>
    <row r="15" spans="1:13" ht="14.5" customHeight="1" x14ac:dyDescent="0.35">
      <c r="A15" s="16" t="s">
        <v>25</v>
      </c>
      <c r="B15" s="17" t="s">
        <v>26</v>
      </c>
      <c r="C15" s="48">
        <f>IF(ISNUMBER(Datos!E16),$C$3*(1+Datos!E16)/Datos!B16,"-")</f>
        <v>18499.666666666668</v>
      </c>
      <c r="D15" s="9" t="str">
        <f>IF(AND(ISNUMBER(C15),ISNUMBER($B$2)),((C15*Datos!$B16)/(1+Datos!$C16)/$B$2)-1,IF(ISNUMBER($B$2),"-","INSERTAR COSTO"))</f>
        <v>INSERTAR COSTO</v>
      </c>
      <c r="E15" s="48" t="str">
        <f>IF(ISNUMBER(Datos!F16),$E$3*(1+Datos!F16)/Datos!B16,"-")</f>
        <v>-</v>
      </c>
      <c r="F15" s="9" t="str">
        <f>IF(AND(ISNUMBER(E15),ISNUMBER($B$2)),((E15*Datos!$B16)/(1+Datos!$C16)/$B$2)-1,IF(ISNUMBER($B$2),"-","INSERTAR COSTO"))</f>
        <v>INSERTAR COSTO</v>
      </c>
      <c r="G15" s="48">
        <f>IF(ISNUMBER(Datos!G16),$G$3*(1+Datos!G16)/Datos!B16,"-")</f>
        <v>19536</v>
      </c>
      <c r="H15" s="9" t="str">
        <f>IF(AND(ISNUMBER(G15),ISNUMBER($B$2)),((G15*Datos!$B16)/(1+Datos!$C16)/$B$2)-1,IF(ISNUMBER($B$2),"-","INSERTAR COSTO"))</f>
        <v>INSERTAR COSTO</v>
      </c>
      <c r="I15" s="48" t="str">
        <f>IF(ISNUMBER(Datos!H16),$I$3*(1+Datos!H16)/Datos!B16,"-")</f>
        <v>-</v>
      </c>
      <c r="J15" s="9" t="str">
        <f>IF(AND(ISNUMBER(I15),ISNUMBER($B$2)),((I15*Datos!$B16)/(1+Datos!$C16)/$B$2)-1,IF(ISNUMBER($B$2),"-","INSERTAR COSTO"))</f>
        <v>INSERTAR COSTO</v>
      </c>
      <c r="K15" s="48">
        <f>$K$3*(1+Datos!D16)/Datos!B16</f>
        <v>0</v>
      </c>
      <c r="L15" s="9" t="str">
        <f>IF(ISNUMBER($B$2),((K15*Datos!$B16)/(1+Datos!$C16)/$B$2)-1,"INSERTAR COSTO")</f>
        <v>INSERTAR COSTO</v>
      </c>
    </row>
    <row r="16" spans="1:13" ht="14.5" customHeight="1" x14ac:dyDescent="0.35">
      <c r="A16" s="16" t="s">
        <v>25</v>
      </c>
      <c r="B16" s="17" t="s">
        <v>27</v>
      </c>
      <c r="C16" s="48">
        <f>IF(ISNUMBER(Datos!E17),$C$3*(1+Datos!E17)/Datos!B17,"-")</f>
        <v>9249.8333333333339</v>
      </c>
      <c r="D16" s="9" t="str">
        <f>IF(AND(ISNUMBER(C16),ISNUMBER($B$2)),((C16*Datos!$B17)/(1+Datos!$C17)/$B$2)-1,IF(ISNUMBER($B$2),"-","INSERTAR COSTO"))</f>
        <v>INSERTAR COSTO</v>
      </c>
      <c r="E16" s="48" t="str">
        <f>IF(ISNUMBER(Datos!F17),$E$3*(1+Datos!F17)/Datos!B17,"-")</f>
        <v>-</v>
      </c>
      <c r="F16" s="9" t="str">
        <f>IF(AND(ISNUMBER(E16),ISNUMBER($B$2)),((E16*Datos!$B17)/(1+Datos!$C17)/$B$2)-1,IF(ISNUMBER($B$2),"-","INSERTAR COSTO"))</f>
        <v>INSERTAR COSTO</v>
      </c>
      <c r="G16" s="48">
        <f>IF(ISNUMBER(Datos!G17),$G$3*(1+Datos!G17)/Datos!B17,"-")</f>
        <v>9768</v>
      </c>
      <c r="H16" s="9" t="str">
        <f>IF(AND(ISNUMBER(G16),ISNUMBER($B$2)),((G16*Datos!$B17)/(1+Datos!$C17)/$B$2)-1,IF(ISNUMBER($B$2),"-","INSERTAR COSTO"))</f>
        <v>INSERTAR COSTO</v>
      </c>
      <c r="I16" s="48" t="str">
        <f>IF(ISNUMBER(Datos!H17),$I$3*(1+Datos!H17)/Datos!B17,"-")</f>
        <v>-</v>
      </c>
      <c r="J16" s="9" t="str">
        <f>IF(AND(ISNUMBER(I16),ISNUMBER($B$2)),((I16*Datos!$B17)/(1+Datos!$C17)/$B$2)-1,IF(ISNUMBER($B$2),"-","INSERTAR COSTO"))</f>
        <v>INSERTAR COSTO</v>
      </c>
      <c r="K16" s="48">
        <f>$K$3*(1+Datos!D17)/Datos!B17</f>
        <v>0</v>
      </c>
      <c r="L16" s="9" t="str">
        <f>IF(ISNUMBER($B$2),((K16*Datos!$B17)/(1+Datos!$C17)/$B$2)-1,"INSERTAR COSTO")</f>
        <v>INSERTAR COSTO</v>
      </c>
    </row>
    <row r="17" spans="1:12" ht="14.5" customHeight="1" x14ac:dyDescent="0.35">
      <c r="A17" s="16" t="s">
        <v>25</v>
      </c>
      <c r="B17" s="17" t="s">
        <v>28</v>
      </c>
      <c r="C17" s="48">
        <f>IF(ISNUMBER(Datos!E18),$C$3*(1+Datos!E18)/Datos!B18,"-")</f>
        <v>4624.916666666667</v>
      </c>
      <c r="D17" s="9" t="str">
        <f>IF(AND(ISNUMBER(C17),ISNUMBER($B$2)),((C17*Datos!$B18)/(1+Datos!$C18)/$B$2)-1,IF(ISNUMBER($B$2),"-","INSERTAR COSTO"))</f>
        <v>INSERTAR COSTO</v>
      </c>
      <c r="E17" s="48" t="str">
        <f>IF(ISNUMBER(Datos!F18),$E$3*(1+Datos!F18)/Datos!B18,"-")</f>
        <v>-</v>
      </c>
      <c r="F17" s="9" t="str">
        <f>IF(AND(ISNUMBER(E17),ISNUMBER($B$2)),((E17*Datos!$B18)/(1+Datos!$C18)/$B$2)-1,IF(ISNUMBER($B$2),"-","INSERTAR COSTO"))</f>
        <v>INSERTAR COSTO</v>
      </c>
      <c r="G17" s="48">
        <f>IF(ISNUMBER(Datos!G18),$G$3*(1+Datos!G18)/Datos!B18,"-")</f>
        <v>4884</v>
      </c>
      <c r="H17" s="9" t="str">
        <f>IF(AND(ISNUMBER(G17),ISNUMBER($B$2)),((G17*Datos!$B18)/(1+Datos!$C18)/$B$2)-1,IF(ISNUMBER($B$2),"-","INSERTAR COSTO"))</f>
        <v>INSERTAR COSTO</v>
      </c>
      <c r="I17" s="48" t="str">
        <f>IF(ISNUMBER(Datos!H18),$I$3*(1+Datos!H18)/Datos!B18,"-")</f>
        <v>-</v>
      </c>
      <c r="J17" s="9" t="str">
        <f>IF(AND(ISNUMBER(I17),ISNUMBER($B$2)),((I17*Datos!$B18)/(1+Datos!$C18)/$B$2)-1,IF(ISNUMBER($B$2),"-","INSERTAR COSTO"))</f>
        <v>INSERTAR COSTO</v>
      </c>
      <c r="K17" s="48">
        <f>$K$3*(1+Datos!D18)/Datos!B18</f>
        <v>0</v>
      </c>
      <c r="L17" s="9" t="str">
        <f>IF(ISNUMBER($B$2),((K17*Datos!$B18)/(1+Datos!$C18)/$B$2)-1,"INSERTAR COSTO")</f>
        <v>INSERTAR COSTO</v>
      </c>
    </row>
    <row r="18" spans="1:12" ht="14.5" customHeight="1" x14ac:dyDescent="0.35">
      <c r="A18" s="16" t="s">
        <v>25</v>
      </c>
      <c r="B18" s="17" t="s">
        <v>29</v>
      </c>
      <c r="C18" s="48">
        <f>IF(ISNUMBER(Datos!E19),$C$3*(1+Datos!E19)/Datos!B19,"-")</f>
        <v>4624.916666666667</v>
      </c>
      <c r="D18" s="9" t="str">
        <f>IF(AND(ISNUMBER(C18),ISNUMBER($B$2)),((C18*Datos!$B19)/(1+Datos!$C19)/$B$2)-1,IF(ISNUMBER($B$2),"-","INSERTAR COSTO"))</f>
        <v>INSERTAR COSTO</v>
      </c>
      <c r="E18" s="48" t="str">
        <f>IF(ISNUMBER(Datos!F19),$E$3*(1+Datos!F19)/Datos!B19,"-")</f>
        <v>-</v>
      </c>
      <c r="F18" s="9" t="str">
        <f>IF(AND(ISNUMBER(E18),ISNUMBER($B$2)),((E18*Datos!$B19)/(1+Datos!$C19)/$B$2)-1,IF(ISNUMBER($B$2),"-","INSERTAR COSTO"))</f>
        <v>INSERTAR COSTO</v>
      </c>
      <c r="G18" s="48">
        <f>IF(ISNUMBER(Datos!G19),$G$3*(1+Datos!G19)/Datos!B19,"-")</f>
        <v>4884</v>
      </c>
      <c r="H18" s="9" t="str">
        <f>IF(AND(ISNUMBER(G18),ISNUMBER($B$2)),((G18*Datos!$B19)/(1+Datos!$C19)/$B$2)-1,IF(ISNUMBER($B$2),"-","INSERTAR COSTO"))</f>
        <v>INSERTAR COSTO</v>
      </c>
      <c r="I18" s="48" t="str">
        <f>IF(ISNUMBER(Datos!H19),$I$3*(1+Datos!H19)/Datos!B19,"-")</f>
        <v>-</v>
      </c>
      <c r="J18" s="9" t="str">
        <f>IF(AND(ISNUMBER(I18),ISNUMBER($B$2)),((I18*Datos!$B19)/(1+Datos!$C19)/$B$2)-1,IF(ISNUMBER($B$2),"-","INSERTAR COSTO"))</f>
        <v>INSERTAR COSTO</v>
      </c>
      <c r="K18" s="48">
        <f>$K$3*(1+Datos!D19)/Datos!B19</f>
        <v>0</v>
      </c>
      <c r="L18" s="9" t="str">
        <f>IF(ISNUMBER($B$2),((K18*Datos!$B19)/(1+Datos!$C19)/$B$2)-1,"INSERTAR COSTO")</f>
        <v>INSERTAR COSTO</v>
      </c>
    </row>
    <row r="19" spans="1:12" ht="14.5" customHeight="1" x14ac:dyDescent="0.35">
      <c r="A19" s="16" t="s">
        <v>25</v>
      </c>
      <c r="B19" s="17" t="s">
        <v>30</v>
      </c>
      <c r="C19" s="48">
        <f>IF(ISNUMBER(Datos!E20),$C$3*(1+Datos!E20)/Datos!B20,"-")</f>
        <v>3699.9333333333334</v>
      </c>
      <c r="D19" s="9" t="str">
        <f>IF(AND(ISNUMBER(C19),ISNUMBER($B$2)),((C19*Datos!$B20)/(1+Datos!$C20)/$B$2)-1,IF(ISNUMBER($B$2),"-","INSERTAR COSTO"))</f>
        <v>INSERTAR COSTO</v>
      </c>
      <c r="E19" s="48" t="str">
        <f>IF(ISNUMBER(Datos!F20),$E$3*(1+Datos!F20)/Datos!B20,"-")</f>
        <v>-</v>
      </c>
      <c r="F19" s="9" t="str">
        <f>IF(AND(ISNUMBER(E19),ISNUMBER($B$2)),((E19*Datos!$B20)/(1+Datos!$C20)/$B$2)-1,IF(ISNUMBER($B$2),"-","INSERTAR COSTO"))</f>
        <v>INSERTAR COSTO</v>
      </c>
      <c r="G19" s="48" t="str">
        <f>IF(ISNUMBER(Datos!G20),$G$3*(1+Datos!G20)/Datos!B20,"-")</f>
        <v>-</v>
      </c>
      <c r="H19" s="9" t="str">
        <f>IF(AND(ISNUMBER(G19),ISNUMBER($B$2)),((G19*Datos!$B20)/(1+Datos!$C20)/$B$2)-1,IF(ISNUMBER($B$2),"-","INSERTAR COSTO"))</f>
        <v>INSERTAR COSTO</v>
      </c>
      <c r="I19" s="48" t="str">
        <f>IF(ISNUMBER(Datos!H20),$I$3*(1+Datos!H20)/Datos!B20,"-")</f>
        <v>-</v>
      </c>
      <c r="J19" s="9" t="str">
        <f>IF(AND(ISNUMBER(I19),ISNUMBER($B$2)),((I19*Datos!$B20)/(1+Datos!$C20)/$B$2)-1,IF(ISNUMBER($B$2),"-","INSERTAR COSTO"))</f>
        <v>INSERTAR COSTO</v>
      </c>
      <c r="K19" s="48">
        <f>$K$3*(1+Datos!D20)/Datos!B20</f>
        <v>0</v>
      </c>
      <c r="L19" s="9" t="str">
        <f>IF(ISNUMBER($B$2),((K19*Datos!$B20)/(1+Datos!$C20)/$B$2)-1,"INSERTAR COSTO")</f>
        <v>INSERTAR COSTO</v>
      </c>
    </row>
    <row r="20" spans="1:12" ht="14.5" customHeight="1" x14ac:dyDescent="0.35">
      <c r="A20" s="16" t="s">
        <v>25</v>
      </c>
      <c r="B20" s="17" t="s">
        <v>31</v>
      </c>
      <c r="C20" s="48" t="str">
        <f>IF(ISNUMBER(Datos!E21),$C$3*(1+Datos!E21)/Datos!B21,"-")</f>
        <v>-</v>
      </c>
      <c r="D20" s="9" t="str">
        <f>IF(AND(ISNUMBER(C20),ISNUMBER($B$2)),((C20*Datos!$B21)/(1+Datos!$C21)/$B$2)-1,IF(ISNUMBER($B$2),"-","INSERTAR COSTO"))</f>
        <v>INSERTAR COSTO</v>
      </c>
      <c r="E20" s="48" t="str">
        <f>IF(ISNUMBER(Datos!F21),$E$3*(1+Datos!F21)/Datos!B21,"-")</f>
        <v>-</v>
      </c>
      <c r="F20" s="9" t="str">
        <f>IF(AND(ISNUMBER(E20),ISNUMBER($B$2)),((E20*Datos!$B21)/(1+Datos!$C21)/$B$2)-1,IF(ISNUMBER($B$2),"-","INSERTAR COSTO"))</f>
        <v>INSERTAR COSTO</v>
      </c>
      <c r="G20" s="48">
        <f>IF(ISNUMBER(Datos!G21),$G$3*(1+Datos!G21)/Datos!B21,"-")</f>
        <v>3983.3904000000007</v>
      </c>
      <c r="H20" s="9" t="str">
        <f>IF(AND(ISNUMBER(G20),ISNUMBER($B$2)),((G20*Datos!$B21)/(1+Datos!$C21)/$B$2)-1,IF(ISNUMBER($B$2),"-","INSERTAR COSTO"))</f>
        <v>INSERTAR COSTO</v>
      </c>
      <c r="I20" s="48" t="str">
        <f>IF(ISNUMBER(Datos!H21),$I$3*(1+Datos!H21)/Datos!B21,"-")</f>
        <v>-</v>
      </c>
      <c r="J20" s="9" t="str">
        <f>IF(AND(ISNUMBER(I20),ISNUMBER($B$2)),((I20*Datos!$B21)/(1+Datos!$C21)/$B$2)-1,IF(ISNUMBER($B$2),"-","INSERTAR COSTO"))</f>
        <v>INSERTAR COSTO</v>
      </c>
      <c r="K20" s="48">
        <f>$K$3*(1+Datos!D21)/Datos!B21</f>
        <v>0</v>
      </c>
      <c r="L20" s="9" t="str">
        <f>IF(ISNUMBER($B$2),((K20*Datos!$B21)/(1+Datos!$C21)/$B$2)-1,"INSERTAR COSTO")</f>
        <v>INSERTAR COSTO</v>
      </c>
    </row>
    <row r="21" spans="1:12" ht="14.5" customHeight="1" x14ac:dyDescent="0.35">
      <c r="A21" s="16" t="s">
        <v>25</v>
      </c>
      <c r="B21" s="17" t="s">
        <v>32</v>
      </c>
      <c r="C21" s="48" t="str">
        <f>IF(ISNUMBER(Datos!E22),$C$3*(1+Datos!E22)/Datos!B22,"-")</f>
        <v>-</v>
      </c>
      <c r="D21" s="9" t="str">
        <f>IF(AND(ISNUMBER(C21),ISNUMBER($B$2)),((C21*Datos!$B22)/(1+Datos!$C22)/$B$2)-1,IF(ISNUMBER($B$2),"-","INSERTAR COSTO"))</f>
        <v>INSERTAR COSTO</v>
      </c>
      <c r="E21" s="48" t="str">
        <f>IF(ISNUMBER(Datos!F22),$E$3*(1+Datos!F22)/Datos!B22,"-")</f>
        <v>-</v>
      </c>
      <c r="F21" s="9" t="str">
        <f>IF(AND(ISNUMBER(E21),ISNUMBER($B$2)),((E21*Datos!$B22)/(1+Datos!$C22)/$B$2)-1,IF(ISNUMBER($B$2),"-","INSERTAR COSTO"))</f>
        <v>INSERTAR COSTO</v>
      </c>
      <c r="G21" s="48" t="str">
        <f>IF(ISNUMBER(Datos!G22),$G$3*(1+Datos!G22)/Datos!B22,"-")</f>
        <v>-</v>
      </c>
      <c r="H21" s="9" t="str">
        <f>IF(AND(ISNUMBER(G21),ISNUMBER($B$2)),((G21*Datos!$B22)/(1+Datos!$C22)/$B$2)-1,IF(ISNUMBER($B$2),"-","INSERTAR COSTO"))</f>
        <v>INSERTAR COSTO</v>
      </c>
      <c r="I21" s="48" t="str">
        <f>IF(ISNUMBER(Datos!H22),$I$3*(1+Datos!H22)/Datos!B22,"-")</f>
        <v>-</v>
      </c>
      <c r="J21" s="9" t="str">
        <f>IF(AND(ISNUMBER(I21),ISNUMBER($B$2)),((I21*Datos!$B22)/(1+Datos!$C22)/$B$2)-1,IF(ISNUMBER($B$2),"-","INSERTAR COSTO"))</f>
        <v>INSERTAR COSTO</v>
      </c>
      <c r="K21" s="48">
        <f>$K$3*(1+Datos!D22)/Datos!B22</f>
        <v>0</v>
      </c>
      <c r="L21" s="9" t="str">
        <f>IF(ISNUMBER($B$2),((K21*Datos!$B22)/(1+Datos!$C22)/$B$2)-1,"INSERTAR COSTO")</f>
        <v>INSERTAR COSTO</v>
      </c>
    </row>
    <row r="22" spans="1:12" ht="14.5" customHeight="1" x14ac:dyDescent="0.35">
      <c r="A22" s="16" t="s">
        <v>25</v>
      </c>
      <c r="B22" s="17" t="s">
        <v>33</v>
      </c>
      <c r="C22" s="48">
        <f>IF(ISNUMBER(Datos!E23),$C$3*(1+Datos!E23)/Datos!B23,"-")</f>
        <v>3177.6199112222221</v>
      </c>
      <c r="D22" s="9" t="str">
        <f>IF(AND(ISNUMBER(C22),ISNUMBER($B$2)),((C22*Datos!$B23)/(1+Datos!$C23)/$B$2)-1,IF(ISNUMBER($B$2),"-","INSERTAR COSTO"))</f>
        <v>INSERTAR COSTO</v>
      </c>
      <c r="E22" s="48" t="str">
        <f>IF(ISNUMBER(Datos!F23),$E$3*(1+Datos!F23)/Datos!B23,"-")</f>
        <v>-</v>
      </c>
      <c r="F22" s="9" t="str">
        <f>IF(AND(ISNUMBER(E22),ISNUMBER($B$2)),((E22*Datos!$B23)/(1+Datos!$C23)/$B$2)-1,IF(ISNUMBER($B$2),"-","INSERTAR COSTO"))</f>
        <v>INSERTAR COSTO</v>
      </c>
      <c r="G22" s="48">
        <f>IF(ISNUMBER(Datos!G23),$G$3*(1+Datos!G23)/Datos!B23,"-")</f>
        <v>3484.5712000000003</v>
      </c>
      <c r="H22" s="9" t="str">
        <f>IF(AND(ISNUMBER(G22),ISNUMBER($B$2)),((G22*Datos!$B23)/(1+Datos!$C23)/$B$2)-1,IF(ISNUMBER($B$2),"-","INSERTAR COSTO"))</f>
        <v>INSERTAR COSTO</v>
      </c>
      <c r="I22" s="48" t="str">
        <f>IF(ISNUMBER(Datos!H23),$I$3*(1+Datos!H23)/Datos!B23,"-")</f>
        <v>-</v>
      </c>
      <c r="J22" s="9" t="str">
        <f>IF(AND(ISNUMBER(I22),ISNUMBER($B$2)),((I22*Datos!$B23)/(1+Datos!$C23)/$B$2)-1,IF(ISNUMBER($B$2),"-","INSERTAR COSTO"))</f>
        <v>INSERTAR COSTO</v>
      </c>
      <c r="K22" s="48">
        <f>$K$3*(1+Datos!D23)/Datos!B23</f>
        <v>0</v>
      </c>
      <c r="L22" s="9" t="str">
        <f>IF(ISNUMBER($B$2),((K22*Datos!$B23)/(1+Datos!$C23)/$B$2)-1,"INSERTAR COSTO")</f>
        <v>INSERTAR COSTO</v>
      </c>
    </row>
    <row r="23" spans="1:12" ht="14.5" customHeight="1" x14ac:dyDescent="0.35">
      <c r="A23" s="16" t="s">
        <v>25</v>
      </c>
      <c r="B23" s="17" t="s">
        <v>34</v>
      </c>
      <c r="C23" s="48" t="str">
        <f>IF(ISNUMBER(Datos!E24),$C$3*(1+Datos!E24)/Datos!B24,"-")</f>
        <v>-</v>
      </c>
      <c r="D23" s="9" t="str">
        <f>IF(AND(ISNUMBER(C23),ISNUMBER($B$2)),((C23*Datos!$B24)/(1+Datos!$C24)/$B$2)-1,IF(ISNUMBER($B$2),"-","INSERTAR COSTO"))</f>
        <v>INSERTAR COSTO</v>
      </c>
      <c r="E23" s="48" t="str">
        <f>IF(ISNUMBER(Datos!F24),$E$3*(1+Datos!F24)/Datos!B24,"-")</f>
        <v>-</v>
      </c>
      <c r="F23" s="9" t="str">
        <f>IF(AND(ISNUMBER(E23),ISNUMBER($B$2)),((E23*Datos!$B24)/(1+Datos!$C24)/$B$2)-1,IF(ISNUMBER($B$2),"-","INSERTAR COSTO"))</f>
        <v>INSERTAR COSTO</v>
      </c>
      <c r="G23" s="48" t="str">
        <f>IF(ISNUMBER(Datos!G24),$G$3*(1+Datos!G24)/Datos!B24,"-")</f>
        <v>-</v>
      </c>
      <c r="H23" s="9" t="str">
        <f>IF(AND(ISNUMBER(G23),ISNUMBER($B$2)),((G23*Datos!$B24)/(1+Datos!$C24)/$B$2)-1,IF(ISNUMBER($B$2),"-","INSERTAR COSTO"))</f>
        <v>INSERTAR COSTO</v>
      </c>
      <c r="I23" s="48" t="str">
        <f>IF(ISNUMBER(Datos!H24),$I$3*(1+Datos!H24)/Datos!B24,"-")</f>
        <v>-</v>
      </c>
      <c r="J23" s="9" t="str">
        <f>IF(AND(ISNUMBER(I23),ISNUMBER($B$2)),((I23*Datos!$B24)/(1+Datos!$C24)/$B$2)-1,IF(ISNUMBER($B$2),"-","INSERTAR COSTO"))</f>
        <v>INSERTAR COSTO</v>
      </c>
      <c r="K23" s="48">
        <f>$K$3*(1+Datos!D24)/Datos!B24</f>
        <v>0</v>
      </c>
      <c r="L23" s="9" t="str">
        <f>IF(ISNUMBER($B$2),((K23*Datos!$B24)/(1+Datos!$C24)/$B$2)-1,"INSERTAR COSTO")</f>
        <v>INSERTAR COSTO</v>
      </c>
    </row>
    <row r="24" spans="1:12" ht="14.5" customHeight="1" x14ac:dyDescent="0.35">
      <c r="A24" s="16" t="s">
        <v>25</v>
      </c>
      <c r="B24" s="17" t="s">
        <v>35</v>
      </c>
      <c r="C24" s="48">
        <f>IF(ISNUMBER(Datos!E25),$C$3*(1+Datos!E25)/Datos!B25,"-")</f>
        <v>3024.6899500999998</v>
      </c>
      <c r="D24" s="9" t="str">
        <f>IF(AND(ISNUMBER(C24),ISNUMBER($B$2)),((C24*Datos!$B25)/(1+Datos!$C25)/$B$2)-1,IF(ISNUMBER($B$2),"-","INSERTAR COSTO"))</f>
        <v>INSERTAR COSTO</v>
      </c>
      <c r="E24" s="48" t="str">
        <f>IF(ISNUMBER(Datos!F25),$E$3*(1+Datos!F25)/Datos!B25,"-")</f>
        <v>-</v>
      </c>
      <c r="F24" s="9" t="str">
        <f>IF(AND(ISNUMBER(E24),ISNUMBER($B$2)),((E24*Datos!$B25)/(1+Datos!$C25)/$B$2)-1,IF(ISNUMBER($B$2),"-","INSERTAR COSTO"))</f>
        <v>INSERTAR COSTO</v>
      </c>
      <c r="G24" s="48">
        <f>IF(ISNUMBER(Datos!G25),$G$3*(1+Datos!G25)/Datos!B25,"-")</f>
        <v>3223.44</v>
      </c>
      <c r="H24" s="9" t="str">
        <f>IF(AND(ISNUMBER(G24),ISNUMBER($B$2)),((G24*Datos!$B25)/(1+Datos!$C25)/$B$2)-1,IF(ISNUMBER($B$2),"-","INSERTAR COSTO"))</f>
        <v>INSERTAR COSTO</v>
      </c>
      <c r="I24" s="48" t="str">
        <f>IF(ISNUMBER(Datos!H25),$I$3*(1+Datos!H25)/Datos!B25,"-")</f>
        <v>-</v>
      </c>
      <c r="J24" s="9" t="str">
        <f>IF(AND(ISNUMBER(I24),ISNUMBER($B$2)),((I24*Datos!$B25)/(1+Datos!$C25)/$B$2)-1,IF(ISNUMBER($B$2),"-","INSERTAR COSTO"))</f>
        <v>INSERTAR COSTO</v>
      </c>
      <c r="K24" s="48">
        <f>$K$3*(1+Datos!D25)/Datos!B25</f>
        <v>0</v>
      </c>
      <c r="L24" s="9" t="str">
        <f>IF(ISNUMBER($B$2),((K24*Datos!$B25)/(1+Datos!$C25)/$B$2)-1,"INSERTAR COSTO")</f>
        <v>INSERTAR COSTO</v>
      </c>
    </row>
    <row r="25" spans="1:12" ht="14.5" customHeight="1" x14ac:dyDescent="0.35">
      <c r="A25" s="18" t="str">
        <f>Datos!A26</f>
        <v>NARANJAX</v>
      </c>
      <c r="B25" s="19" t="s">
        <v>13</v>
      </c>
      <c r="C25" s="48" t="str">
        <f>IF(ISNUMBER(Datos!E26),$C$3*(1+Datos!E26)/Datos!B26,"-")</f>
        <v>-</v>
      </c>
      <c r="D25" s="9" t="str">
        <f>IF(AND(ISNUMBER(C25),ISNUMBER($B$2)),((C25*Datos!$B26)/(1+Datos!$C26)/$B$2)-1,IF(ISNUMBER($B$2),"-","INSERTAR COSTO"))</f>
        <v>INSERTAR COSTO</v>
      </c>
      <c r="E25" s="48" t="str">
        <f>IF(ISNUMBER(Datos!F26),$E$3*(1+Datos!F26)/Datos!B26,"-")</f>
        <v>-</v>
      </c>
      <c r="F25" s="9" t="str">
        <f>IF(AND(ISNUMBER(E25),ISNUMBER($B$2)),((E25*Datos!$B26)/(1+Datos!$C26)/$B$2)-1,IF(ISNUMBER($B$2),"-","INSERTAR COSTO"))</f>
        <v>INSERTAR COSTO</v>
      </c>
      <c r="G25" s="48" t="str">
        <f>IF(ISNUMBER(Datos!G26),$G$3*(1+Datos!G26)/Datos!B26,"-")</f>
        <v>-</v>
      </c>
      <c r="H25" s="9" t="str">
        <f>IF(AND(ISNUMBER(G25),ISNUMBER($B$2)),((G25*Datos!$B26)/(1+Datos!$C26)/$B$2)-1,IF(ISNUMBER($B$2),"-","INSERTAR COSTO"))</f>
        <v>INSERTAR COSTO</v>
      </c>
      <c r="I25" s="48" t="str">
        <f>IF(ISNUMBER(Datos!H26),$I$3*(1+Datos!H26)/Datos!B26,"-")</f>
        <v>-</v>
      </c>
      <c r="J25" s="9" t="str">
        <f>IF(AND(ISNUMBER(I25),ISNUMBER($B$2)),((I25*Datos!$B26)/(1+Datos!$C26)/$B$2)-1,IF(ISNUMBER($B$2),"-","INSERTAR COSTO"))</f>
        <v>INSERTAR COSTO</v>
      </c>
      <c r="K25" s="48">
        <f>$K$3*(1+Datos!D26)/Datos!B26</f>
        <v>0</v>
      </c>
      <c r="L25" s="9" t="str">
        <f>IF(ISNUMBER($B$2),((K25*Datos!$B26)/(1+Datos!$C26)/$B$2)-1,"INSERTAR COSTO")</f>
        <v>INSERTAR COSTO</v>
      </c>
    </row>
    <row r="26" spans="1:12" ht="14.5" customHeight="1" x14ac:dyDescent="0.35">
      <c r="A26" s="18" t="str">
        <f>Datos!A27</f>
        <v>NARANJAX</v>
      </c>
      <c r="B26" s="19" t="s">
        <v>37</v>
      </c>
      <c r="C26" s="48">
        <f>IF(ISNUMBER(Datos!E27),$C$3*(1+Datos!E27)/Datos!B27,"-")</f>
        <v>18499.666666666668</v>
      </c>
      <c r="D26" s="9" t="str">
        <f>IF(AND(ISNUMBER(C26),ISNUMBER($B$2)),((C26*Datos!$B27)/(1+Datos!$C27)/$B$2)-1,IF(ISNUMBER($B$2),"-","INSERTAR COSTO"))</f>
        <v>INSERTAR COSTO</v>
      </c>
      <c r="E26" s="48" t="str">
        <f>IF(ISNUMBER(Datos!F27),$E$3*(1+Datos!F27)/Datos!B27,"-")</f>
        <v>-</v>
      </c>
      <c r="F26" s="9" t="str">
        <f>IF(AND(ISNUMBER(E26),ISNUMBER($B$2)),((E26*Datos!$B27)/(1+Datos!$C27)/$B$2)-1,IF(ISNUMBER($B$2),"-","INSERTAR COSTO"))</f>
        <v>INSERTAR COSTO</v>
      </c>
      <c r="G26" s="48">
        <f>IF(ISNUMBER(Datos!G27),$G$3*(1+Datos!G27)/Datos!B27,"-")</f>
        <v>19536</v>
      </c>
      <c r="H26" s="9" t="str">
        <f>IF(AND(ISNUMBER(G26),ISNUMBER($B$2)),((G26*Datos!$B27)/(1+Datos!$C27)/$B$2)-1,IF(ISNUMBER($B$2),"-","INSERTAR COSTO"))</f>
        <v>INSERTAR COSTO</v>
      </c>
      <c r="I26" s="48" t="str">
        <f>IF(ISNUMBER(Datos!H27),$I$3*(1+Datos!H27)/Datos!B27,"-")</f>
        <v>-</v>
      </c>
      <c r="J26" s="9" t="str">
        <f>IF(AND(ISNUMBER(I26),ISNUMBER($B$2)),((I26*Datos!$B27)/(1+Datos!$C27)/$B$2)-1,IF(ISNUMBER($B$2),"-","INSERTAR COSTO"))</f>
        <v>INSERTAR COSTO</v>
      </c>
      <c r="K26" s="48">
        <f>$K$3*(1+Datos!D27)/Datos!B27</f>
        <v>0</v>
      </c>
      <c r="L26" s="9" t="str">
        <f>IF(ISNUMBER($B$2),((K26*Datos!$B27)/(1+Datos!$C27)/$B$2)-1,"INSERTAR COSTO")</f>
        <v>INSERTAR COSTO</v>
      </c>
    </row>
    <row r="27" spans="1:12" ht="14.5" customHeight="1" x14ac:dyDescent="0.35">
      <c r="A27" s="18" t="str">
        <f>Datos!A28</f>
        <v>NARANJAX</v>
      </c>
      <c r="B27" s="19" t="s">
        <v>38</v>
      </c>
      <c r="C27" s="48">
        <f>IF(ISNUMBER(Datos!E28),$C$3*(1+Datos!E28)/Datos!B28,"-")</f>
        <v>9249.8333333333339</v>
      </c>
      <c r="D27" s="9" t="str">
        <f>IF(AND(ISNUMBER(C27),ISNUMBER($B$2)),((C27*Datos!$B28)/(1+Datos!$C28)/$B$2)-1,IF(ISNUMBER($B$2),"-","INSERTAR COSTO"))</f>
        <v>INSERTAR COSTO</v>
      </c>
      <c r="E27" s="48" t="str">
        <f>IF(ISNUMBER(Datos!F28),$E$3*(1+Datos!F28)/Datos!B28,"-")</f>
        <v>-</v>
      </c>
      <c r="F27" s="9" t="str">
        <f>IF(AND(ISNUMBER(E27),ISNUMBER($B$2)),((E27*Datos!$B28)/(1+Datos!$C28)/$B$2)-1,IF(ISNUMBER($B$2),"-","INSERTAR COSTO"))</f>
        <v>INSERTAR COSTO</v>
      </c>
      <c r="G27" s="48">
        <f>IF(ISNUMBER(Datos!G28),$G$3*(1+Datos!G28)/Datos!B28,"-")</f>
        <v>9768</v>
      </c>
      <c r="H27" s="9" t="str">
        <f>IF(AND(ISNUMBER(G27),ISNUMBER($B$2)),((G27*Datos!$B28)/(1+Datos!$C28)/$B$2)-1,IF(ISNUMBER($B$2),"-","INSERTAR COSTO"))</f>
        <v>INSERTAR COSTO</v>
      </c>
      <c r="I27" s="48" t="str">
        <f>IF(ISNUMBER(Datos!H28),$I$3*(1+Datos!H28)/Datos!B28,"-")</f>
        <v>-</v>
      </c>
      <c r="J27" s="9" t="str">
        <f>IF(AND(ISNUMBER(I27),ISNUMBER($B$2)),((I27*Datos!$B28)/(1+Datos!$C28)/$B$2)-1,IF(ISNUMBER($B$2),"-","INSERTAR COSTO"))</f>
        <v>INSERTAR COSTO</v>
      </c>
      <c r="K27" s="48">
        <f>$K$3*(1+Datos!D28)/Datos!B28</f>
        <v>0</v>
      </c>
      <c r="L27" s="9" t="str">
        <f>IF(ISNUMBER($B$2),((K27*Datos!$B28)/(1+Datos!$C28)/$B$2)-1,"INSERTAR COSTO")</f>
        <v>INSERTAR COSTO</v>
      </c>
    </row>
    <row r="28" spans="1:12" ht="14.5" customHeight="1" x14ac:dyDescent="0.35">
      <c r="A28" s="18" t="str">
        <f>Datos!A29</f>
        <v>NARANJAX</v>
      </c>
      <c r="B28" s="19" t="s">
        <v>39</v>
      </c>
      <c r="C28" s="48">
        <f>IF(ISNUMBER(Datos!E29),$C$3*(1+Datos!E29)/Datos!B29,"-")</f>
        <v>6166.5555555555557</v>
      </c>
      <c r="D28" s="9" t="str">
        <f>IF(AND(ISNUMBER(C28),ISNUMBER($B$2)),((C28*Datos!$B29)/(1+Datos!$C29)/$B$2)-1,IF(ISNUMBER($B$2),"-","INSERTAR COSTO"))</f>
        <v>INSERTAR COSTO</v>
      </c>
      <c r="E28" s="48" t="str">
        <f>IF(ISNUMBER(Datos!F29),$E$3*(1+Datos!F29)/Datos!B29,"-")</f>
        <v>-</v>
      </c>
      <c r="F28" s="9" t="str">
        <f>IF(AND(ISNUMBER(E28),ISNUMBER($B$2)),((E28*Datos!$B29)/(1+Datos!$C29)/$B$2)-1,IF(ISNUMBER($B$2),"-","INSERTAR COSTO"))</f>
        <v>INSERTAR COSTO</v>
      </c>
      <c r="G28" s="48">
        <f>IF(ISNUMBER(Datos!G29),$G$3*(1+Datos!G29)/Datos!B29,"-")</f>
        <v>6512</v>
      </c>
      <c r="H28" s="9" t="str">
        <f>IF(AND(ISNUMBER(G28),ISNUMBER($B$2)),((G28*Datos!$B29)/(1+Datos!$C29)/$B$2)-1,IF(ISNUMBER($B$2),"-","INSERTAR COSTO"))</f>
        <v>INSERTAR COSTO</v>
      </c>
      <c r="I28" s="48" t="str">
        <f>IF(ISNUMBER(Datos!H29),$I$3*(1+Datos!H29)/Datos!B29,"-")</f>
        <v>-</v>
      </c>
      <c r="J28" s="9" t="str">
        <f>IF(AND(ISNUMBER(I28),ISNUMBER($B$2)),((I28*Datos!$B29)/(1+Datos!$C29)/$B$2)-1,IF(ISNUMBER($B$2),"-","INSERTAR COSTO"))</f>
        <v>INSERTAR COSTO</v>
      </c>
      <c r="K28" s="48">
        <f>$K$3*(1+Datos!D29)/Datos!B29</f>
        <v>0</v>
      </c>
      <c r="L28" s="9" t="str">
        <f>IF(ISNUMBER($B$2),((K28*Datos!$B29)/(1+Datos!$C29)/$B$2)-1,"INSERTAR COSTO")</f>
        <v>INSERTAR COSTO</v>
      </c>
    </row>
    <row r="29" spans="1:12" ht="14.5" customHeight="1" x14ac:dyDescent="0.35">
      <c r="A29" s="18" t="str">
        <f>Datos!A30</f>
        <v>NARANJAX</v>
      </c>
      <c r="B29" s="19" t="s">
        <v>40</v>
      </c>
      <c r="C29" s="48" t="str">
        <f>IF(ISNUMBER(Datos!E30),$C$3*(1+Datos!E30)/Datos!B30,"-")</f>
        <v>-</v>
      </c>
      <c r="D29" s="9" t="str">
        <f>IF(AND(ISNUMBER(C29),ISNUMBER($B$2)),((C29*Datos!$B30)/(1+Datos!$C30)/$B$2)-1,IF(ISNUMBER($B$2),"-","INSERTAR COSTO"))</f>
        <v>INSERTAR COSTO</v>
      </c>
      <c r="E29" s="48" t="str">
        <f>IF(ISNUMBER(Datos!F30),$E$3*(1+Datos!F30)/Datos!B30,"-")</f>
        <v>-</v>
      </c>
      <c r="F29" s="9" t="str">
        <f>IF(AND(ISNUMBER(E29),ISNUMBER($B$2)),((E29*Datos!$B30)/(1+Datos!$C30)/$B$2)-1,IF(ISNUMBER($B$2),"-","INSERTAR COSTO"))</f>
        <v>INSERTAR COSTO</v>
      </c>
      <c r="G29" s="48" t="str">
        <f>IF(ISNUMBER(Datos!G30),$G$3*(1+Datos!G30)/Datos!B30,"-")</f>
        <v>-</v>
      </c>
      <c r="H29" s="9" t="str">
        <f>IF(AND(ISNUMBER(G29),ISNUMBER($B$2)),((G29*Datos!$B30)/(1+Datos!$C30)/$B$2)-1,IF(ISNUMBER($B$2),"-","INSERTAR COSTO"))</f>
        <v>INSERTAR COSTO</v>
      </c>
      <c r="I29" s="48" t="str">
        <f>IF(ISNUMBER(Datos!H30),$I$3*(1+Datos!H30)/Datos!B30,"-")</f>
        <v>-</v>
      </c>
      <c r="J29" s="9" t="str">
        <f>IF(AND(ISNUMBER(I29),ISNUMBER($B$2)),((I29*Datos!$B30)/(1+Datos!$C30)/$B$2)-1,IF(ISNUMBER($B$2),"-","INSERTAR COSTO"))</f>
        <v>INSERTAR COSTO</v>
      </c>
      <c r="K29" s="48">
        <f>$K$3*(1+Datos!D30)/Datos!B30</f>
        <v>0</v>
      </c>
      <c r="L29" s="9" t="str">
        <f>IF(ISNUMBER($B$2),((K29*Datos!$B30)/(1+Datos!$C30)/$B$2)-1,"INSERTAR COSTO")</f>
        <v>INSERTAR COSTO</v>
      </c>
    </row>
    <row r="30" spans="1:12" ht="14.5" customHeight="1" x14ac:dyDescent="0.35">
      <c r="A30" s="18" t="str">
        <f>Datos!A31</f>
        <v>NARANJAX</v>
      </c>
      <c r="B30" s="19" t="s">
        <v>41</v>
      </c>
      <c r="C30" s="48" t="str">
        <f>IF(ISNUMBER(Datos!E31),$C$3*(1+Datos!E31)/Datos!B31,"-")</f>
        <v>-</v>
      </c>
      <c r="D30" s="9" t="str">
        <f>IF(AND(ISNUMBER(C30),ISNUMBER($B$2)),((C30*Datos!$B31)/(1+Datos!$C31)/$B$2)-1,IF(ISNUMBER($B$2),"-","INSERTAR COSTO"))</f>
        <v>INSERTAR COSTO</v>
      </c>
      <c r="E30" s="48" t="str">
        <f>IF(ISNUMBER(Datos!F31),$E$3*(1+Datos!F31)/Datos!B31,"-")</f>
        <v>-</v>
      </c>
      <c r="F30" s="9" t="str">
        <f>IF(AND(ISNUMBER(E30),ISNUMBER($B$2)),((E30*Datos!$B31)/(1+Datos!$C31)/$B$2)-1,IF(ISNUMBER($B$2),"-","INSERTAR COSTO"))</f>
        <v>INSERTAR COSTO</v>
      </c>
      <c r="G30" s="48">
        <f>IF(ISNUMBER(Datos!G31),$G$3*(1+Datos!G31)/Datos!B31,"-")</f>
        <v>5860.8</v>
      </c>
      <c r="H30" s="9" t="str">
        <f>IF(AND(ISNUMBER(G30),ISNUMBER($B$2)),((G30*Datos!$B31)/(1+Datos!$C31)/$B$2)-1,IF(ISNUMBER($B$2),"-","INSERTAR COSTO"))</f>
        <v>INSERTAR COSTO</v>
      </c>
      <c r="I30" s="48" t="str">
        <f>IF(ISNUMBER(Datos!H31),$I$3*(1+Datos!H31)/Datos!B31,"-")</f>
        <v>-</v>
      </c>
      <c r="J30" s="9" t="str">
        <f>IF(AND(ISNUMBER(I30),ISNUMBER($B$2)),((I30*Datos!$B31)/(1+Datos!$C31)/$B$2)-1,IF(ISNUMBER($B$2),"-","INSERTAR COSTO"))</f>
        <v>INSERTAR COSTO</v>
      </c>
      <c r="K30" s="48">
        <f>$K$3*(1+Datos!D31)/Datos!B31</f>
        <v>0</v>
      </c>
      <c r="L30" s="9" t="str">
        <f>IF(ISNUMBER($B$2),((K30*Datos!$B31)/(1+Datos!$C31)/$B$2)-1,"INSERTAR COSTO")</f>
        <v>INSERTAR COSTO</v>
      </c>
    </row>
    <row r="31" spans="1:12" ht="14.5" customHeight="1" x14ac:dyDescent="0.35">
      <c r="A31" s="18" t="str">
        <f>Datos!A32</f>
        <v>NARANJAX</v>
      </c>
      <c r="B31" s="19" t="s">
        <v>42</v>
      </c>
      <c r="C31" s="48" t="str">
        <f>IF(ISNUMBER(Datos!E32),$C$3*(1+Datos!E32)/Datos!B32,"-")</f>
        <v>-</v>
      </c>
      <c r="D31" s="9" t="str">
        <f>IF(AND(ISNUMBER(C31),ISNUMBER($B$2)),((C31*Datos!$B32)/(1+Datos!$C32)/$B$2)-1,IF(ISNUMBER($B$2),"-","INSERTAR COSTO"))</f>
        <v>INSERTAR COSTO</v>
      </c>
      <c r="E31" s="48" t="str">
        <f>IF(ISNUMBER(Datos!F32),$E$3*(1+Datos!F32)/Datos!B32,"-")</f>
        <v>-</v>
      </c>
      <c r="F31" s="9" t="str">
        <f>IF(AND(ISNUMBER(E31),ISNUMBER($B$2)),((E31*Datos!$B32)/(1+Datos!$C32)/$B$2)-1,IF(ISNUMBER($B$2),"-","INSERTAR COSTO"))</f>
        <v>INSERTAR COSTO</v>
      </c>
      <c r="G31" s="48" t="str">
        <f>IF(ISNUMBER(Datos!G32),$G$3*(1+Datos!G32)/Datos!B32,"-")</f>
        <v>-</v>
      </c>
      <c r="H31" s="9" t="str">
        <f>IF(AND(ISNUMBER(G31),ISNUMBER($B$2)),((G31*Datos!$B32)/(1+Datos!$C32)/$B$2)-1,IF(ISNUMBER($B$2),"-","INSERTAR COSTO"))</f>
        <v>INSERTAR COSTO</v>
      </c>
      <c r="I31" s="48" t="str">
        <f>IF(ISNUMBER(Datos!H32),$I$3*(1+Datos!H32)/Datos!B32,"-")</f>
        <v>-</v>
      </c>
      <c r="J31" s="9" t="str">
        <f>IF(AND(ISNUMBER(I31),ISNUMBER($B$2)),((I31*Datos!$B32)/(1+Datos!$C32)/$B$2)-1,IF(ISNUMBER($B$2),"-","INSERTAR COSTO"))</f>
        <v>INSERTAR COSTO</v>
      </c>
      <c r="K31" s="48">
        <f>$K$3*(1+Datos!D32)/Datos!B32</f>
        <v>0</v>
      </c>
      <c r="L31" s="9" t="str">
        <f>IF(ISNUMBER($B$2),((K31*Datos!$B32)/(1+Datos!$C32)/$B$2)-1,"INSERTAR COSTO")</f>
        <v>INSERTAR COSTO</v>
      </c>
    </row>
    <row r="32" spans="1:12" ht="14.5" customHeight="1" x14ac:dyDescent="0.35">
      <c r="A32" s="18" t="str">
        <f>Datos!A33</f>
        <v>NARANJAX</v>
      </c>
      <c r="B32" s="20" t="s">
        <v>43</v>
      </c>
      <c r="C32" s="48">
        <f>IF(ISNUMBER(Datos!E33),$C$3*(1+Datos!E33)/Datos!B33,"-")</f>
        <v>4624.916666666667</v>
      </c>
      <c r="D32" s="9" t="str">
        <f>IF(AND(ISNUMBER(C32),ISNUMBER($B$2)),((C32*Datos!$B33)/(1+Datos!$C33)/$B$2)-1,IF(ISNUMBER($B$2),"-","INSERTAR COSTO"))</f>
        <v>INSERTAR COSTO</v>
      </c>
      <c r="E32" s="48" t="str">
        <f>IF(ISNUMBER(Datos!F33),$E$3*(1+Datos!F33)/Datos!B33,"-")</f>
        <v>-</v>
      </c>
      <c r="F32" s="9" t="str">
        <f>IF(AND(ISNUMBER(E32),ISNUMBER($B$2)),((E32*Datos!$B33)/(1+Datos!$C33)/$B$2)-1,IF(ISNUMBER($B$2),"-","INSERTAR COSTO"))</f>
        <v>INSERTAR COSTO</v>
      </c>
      <c r="G32" s="48" t="str">
        <f>IF(ISNUMBER(Datos!G33),$G$3*(1+Datos!G33)/Datos!B33,"-")</f>
        <v>-</v>
      </c>
      <c r="H32" s="9" t="str">
        <f>IF(AND(ISNUMBER(G32),ISNUMBER($B$2)),((G32*Datos!$B33)/(1+Datos!$C33)/$B$2)-1,IF(ISNUMBER($B$2),"-","INSERTAR COSTO"))</f>
        <v>INSERTAR COSTO</v>
      </c>
      <c r="I32" s="48" t="str">
        <f>IF(ISNUMBER(Datos!H33),$I$3*(1+Datos!H33)/Datos!B33,"-")</f>
        <v>-</v>
      </c>
      <c r="J32" s="9" t="str">
        <f>IF(AND(ISNUMBER(I32),ISNUMBER($B$2)),((I32*Datos!$B33)/(1+Datos!$C33)/$B$2)-1,IF(ISNUMBER($B$2),"-","INSERTAR COSTO"))</f>
        <v>INSERTAR COSTO</v>
      </c>
      <c r="K32" s="48">
        <f>$K$3*(1+Datos!D33)/Datos!B33</f>
        <v>0</v>
      </c>
      <c r="L32" s="9" t="str">
        <f>IF(ISNUMBER($B$2),((K32*Datos!$B33)/(1+Datos!$C33)/$B$2)-1,"INSERTAR COSTO")</f>
        <v>INSERTAR COSTO</v>
      </c>
    </row>
    <row r="33" spans="1:12" ht="14.5" customHeight="1" x14ac:dyDescent="0.35">
      <c r="A33" s="18" t="str">
        <f>Datos!A34</f>
        <v>NARANJAX</v>
      </c>
      <c r="B33" s="20" t="s">
        <v>44</v>
      </c>
      <c r="C33" s="48" t="str">
        <f>IF(ISNUMBER(Datos!E34),$C$3*(1+Datos!E34)/Datos!B34,"-")</f>
        <v>-</v>
      </c>
      <c r="D33" s="9" t="str">
        <f>IF(AND(ISNUMBER(C33),ISNUMBER($B$2)),((C33*Datos!$B34)/(1+Datos!$C34)/$B$2)-1,IF(ISNUMBER($B$2),"-","INSERTAR COSTO"))</f>
        <v>INSERTAR COSTO</v>
      </c>
      <c r="E33" s="48" t="str">
        <f>IF(ISNUMBER(Datos!F34),$E$3*(1+Datos!F34)/Datos!B34,"-")</f>
        <v>-</v>
      </c>
      <c r="F33" s="9" t="str">
        <f>IF(AND(ISNUMBER(E33),ISNUMBER($B$2)),((E33*Datos!$B34)/(1+Datos!$C34)/$B$2)-1,IF(ISNUMBER($B$2),"-","INSERTAR COSTO"))</f>
        <v>INSERTAR COSTO</v>
      </c>
      <c r="G33" s="48">
        <f>IF(ISNUMBER(Datos!G34),$G$3*(1+Datos!G34)/Datos!B34,"-")</f>
        <v>5323.56</v>
      </c>
      <c r="H33" s="9" t="str">
        <f>IF(AND(ISNUMBER(G33),ISNUMBER($B$2)),((G33*Datos!$B34)/(1+Datos!$C34)/$B$2)-1,IF(ISNUMBER($B$2),"-","INSERTAR COSTO"))</f>
        <v>INSERTAR COSTO</v>
      </c>
      <c r="I33" s="48" t="str">
        <f>IF(ISNUMBER(Datos!H34),$I$3*(1+Datos!H34)/Datos!B34,"-")</f>
        <v>-</v>
      </c>
      <c r="J33" s="9" t="str">
        <f>IF(AND(ISNUMBER(I33),ISNUMBER($B$2)),((I33*Datos!$B34)/(1+Datos!$C34)/$B$2)-1,IF(ISNUMBER($B$2),"-","INSERTAR COSTO"))</f>
        <v>INSERTAR COSTO</v>
      </c>
      <c r="K33" s="48">
        <f>$K$3*(1+Datos!D34)/Datos!B34</f>
        <v>0</v>
      </c>
      <c r="L33" s="9" t="str">
        <f>IF(ISNUMBER($B$2),((K33*Datos!$B34)/(1+Datos!$C34)/$B$2)-1,"INSERTAR COSTO")</f>
        <v>INSERTAR COSTO</v>
      </c>
    </row>
    <row r="34" spans="1:12" ht="14.5" customHeight="1" x14ac:dyDescent="0.35">
      <c r="A34" s="18" t="str">
        <f>Datos!A35</f>
        <v>NARANJAX</v>
      </c>
      <c r="B34" s="20" t="s">
        <v>45</v>
      </c>
      <c r="C34" s="48" t="str">
        <f>IF(ISNUMBER(Datos!E35),$C$3*(1+Datos!E35)/Datos!B35,"-")</f>
        <v>-</v>
      </c>
      <c r="D34" s="9" t="str">
        <f>IF(AND(ISNUMBER(C34),ISNUMBER($B$2)),((C34*Datos!$B35)/(1+Datos!$C35)/$B$2)-1,IF(ISNUMBER($B$2),"-","INSERTAR COSTO"))</f>
        <v>INSERTAR COSTO</v>
      </c>
      <c r="E34" s="48" t="str">
        <f>IF(ISNUMBER(Datos!F35),$E$3*(1+Datos!F35)/Datos!B35,"-")</f>
        <v>-</v>
      </c>
      <c r="F34" s="9" t="str">
        <f>IF(AND(ISNUMBER(E34),ISNUMBER($B$2)),((E34*Datos!$B35)/(1+Datos!$C35)/$B$2)-1,IF(ISNUMBER($B$2),"-","INSERTAR COSTO"))</f>
        <v>INSERTAR COSTO</v>
      </c>
      <c r="G34" s="48" t="str">
        <f>IF(ISNUMBER(Datos!G35),$G$3*(1+Datos!G35)/Datos!B35,"-")</f>
        <v>-</v>
      </c>
      <c r="H34" s="9" t="str">
        <f>IF(AND(ISNUMBER(G34),ISNUMBER($B$2)),((G34*Datos!$B35)/(1+Datos!$C35)/$B$2)-1,IF(ISNUMBER($B$2),"-","INSERTAR COSTO"))</f>
        <v>INSERTAR COSTO</v>
      </c>
      <c r="I34" s="48" t="str">
        <f>IF(ISNUMBER(Datos!H35),$I$3*(1+Datos!H35)/Datos!B35,"-")</f>
        <v>-</v>
      </c>
      <c r="J34" s="9" t="str">
        <f>IF(AND(ISNUMBER(I34),ISNUMBER($B$2)),((I34*Datos!$B35)/(1+Datos!$C35)/$B$2)-1,IF(ISNUMBER($B$2),"-","INSERTAR COSTO"))</f>
        <v>INSERTAR COSTO</v>
      </c>
      <c r="K34" s="48">
        <f>$K$3*(1+Datos!D35)/Datos!B35</f>
        <v>0</v>
      </c>
      <c r="L34" s="9" t="str">
        <f>IF(ISNUMBER($B$2),((K34*Datos!$B35)/(1+Datos!$C35)/$B$2)-1,"INSERTAR COSTO")</f>
        <v>INSERTAR COSTO</v>
      </c>
    </row>
    <row r="35" spans="1:12" ht="14.5" customHeight="1" x14ac:dyDescent="0.35">
      <c r="A35" s="18" t="str">
        <f>Datos!A36</f>
        <v>NARANJAX</v>
      </c>
      <c r="B35" s="20" t="s">
        <v>46</v>
      </c>
      <c r="C35" s="48" t="str">
        <f>IF(ISNUMBER(Datos!E36),$C$3*(1+Datos!E36)/Datos!B36,"-")</f>
        <v>-</v>
      </c>
      <c r="D35" s="9" t="str">
        <f>IF(AND(ISNUMBER(C35),ISNUMBER($B$2)),((C35*Datos!$B36)/(1+Datos!$C36)/$B$2)-1,IF(ISNUMBER($B$2),"-","INSERTAR COSTO"))</f>
        <v>INSERTAR COSTO</v>
      </c>
      <c r="E35" s="48" t="str">
        <f>IF(ISNUMBER(Datos!F36),$E$3*(1+Datos!F36)/Datos!B36,"-")</f>
        <v>-</v>
      </c>
      <c r="F35" s="9" t="str">
        <f>IF(AND(ISNUMBER(E35),ISNUMBER($B$2)),((E35*Datos!$B36)/(1+Datos!$C36)/$B$2)-1,IF(ISNUMBER($B$2),"-","INSERTAR COSTO"))</f>
        <v>INSERTAR COSTO</v>
      </c>
      <c r="G35" s="48" t="str">
        <f>IF(ISNUMBER(Datos!G36),$G$3*(1+Datos!G36)/Datos!B36,"-")</f>
        <v>-</v>
      </c>
      <c r="H35" s="9" t="str">
        <f>IF(AND(ISNUMBER(G35),ISNUMBER($B$2)),((G35*Datos!$B36)/(1+Datos!$C36)/$B$2)-1,IF(ISNUMBER($B$2),"-","INSERTAR COSTO"))</f>
        <v>INSERTAR COSTO</v>
      </c>
      <c r="I35" s="48" t="str">
        <f>IF(ISNUMBER(Datos!H36),$I$3*(1+Datos!H36)/Datos!B36,"-")</f>
        <v>-</v>
      </c>
      <c r="J35" s="9" t="str">
        <f>IF(AND(ISNUMBER(I35),ISNUMBER($B$2)),((I35*Datos!$B36)/(1+Datos!$C36)/$B$2)-1,IF(ISNUMBER($B$2),"-","INSERTAR COSTO"))</f>
        <v>INSERTAR COSTO</v>
      </c>
      <c r="K35" s="48">
        <f>$K$3*(1+Datos!D36)/Datos!B36</f>
        <v>0</v>
      </c>
      <c r="L35" s="9" t="str">
        <f>IF(ISNUMBER($B$2),((K35*Datos!$B36)/(1+Datos!$C36)/$B$2)-1,"INSERTAR COSTO")</f>
        <v>INSERTAR COSTO</v>
      </c>
    </row>
    <row r="36" spans="1:12" ht="14.5" customHeight="1" x14ac:dyDescent="0.35">
      <c r="A36" s="18" t="str">
        <f>Datos!A37</f>
        <v>NARANJAX</v>
      </c>
      <c r="B36" s="20" t="s">
        <v>47</v>
      </c>
      <c r="C36" s="48" t="str">
        <f>IF(ISNUMBER(Datos!E37),$C$3*(1+Datos!E37)/Datos!B37,"-")</f>
        <v>-</v>
      </c>
      <c r="D36" s="9" t="str">
        <f>IF(AND(ISNUMBER(C36),ISNUMBER($B$2)),((C36*Datos!$B37)/(1+Datos!$C37)/$B$2)-1,IF(ISNUMBER($B$2),"-","INSERTAR COSTO"))</f>
        <v>INSERTAR COSTO</v>
      </c>
      <c r="E36" s="48" t="str">
        <f>IF(ISNUMBER(Datos!F37),$E$3*(1+Datos!F37)/Datos!B37,"-")</f>
        <v>-</v>
      </c>
      <c r="F36" s="9" t="str">
        <f>IF(AND(ISNUMBER(E36),ISNUMBER($B$2)),((E36*Datos!$B37)/(1+Datos!$C37)/$B$2)-1,IF(ISNUMBER($B$2),"-","INSERTAR COSTO"))</f>
        <v>INSERTAR COSTO</v>
      </c>
      <c r="G36" s="48" t="str">
        <f>IF(ISNUMBER(Datos!G37),$G$3*(1+Datos!G37)/Datos!B37,"-")</f>
        <v>-</v>
      </c>
      <c r="H36" s="9" t="str">
        <f>IF(AND(ISNUMBER(G36),ISNUMBER($B$2)),((G36*Datos!$B37)/(1+Datos!$C37)/$B$2)-1,IF(ISNUMBER($B$2),"-","INSERTAR COSTO"))</f>
        <v>INSERTAR COSTO</v>
      </c>
      <c r="I36" s="48" t="str">
        <f>IF(ISNUMBER(Datos!H37),$I$3*(1+Datos!H37)/Datos!B37,"-")</f>
        <v>-</v>
      </c>
      <c r="J36" s="9" t="str">
        <f>IF(AND(ISNUMBER(I36),ISNUMBER($B$2)),((I36*Datos!$B37)/(1+Datos!$C37)/$B$2)-1,IF(ISNUMBER($B$2),"-","INSERTAR COSTO"))</f>
        <v>INSERTAR COSTO</v>
      </c>
      <c r="K36" s="48">
        <f>$K$3*(1+Datos!D37)/Datos!B37</f>
        <v>0</v>
      </c>
      <c r="L36" s="9" t="str">
        <f>IF(ISNUMBER($B$2),((K36*Datos!$B37)/(1+Datos!$C37)/$B$2)-1,"INSERTAR COSTO")</f>
        <v>INSERTAR COSTO</v>
      </c>
    </row>
    <row r="37" spans="1:12" ht="14.5" customHeight="1" x14ac:dyDescent="0.35">
      <c r="A37" s="18" t="str">
        <f>Datos!A38</f>
        <v>NARANJAX</v>
      </c>
      <c r="B37" s="20" t="s">
        <v>48</v>
      </c>
      <c r="C37" s="48" t="str">
        <f>IF(ISNUMBER(Datos!E38),$C$3*(1+Datos!E38)/Datos!B38,"-")</f>
        <v>-</v>
      </c>
      <c r="D37" s="9" t="str">
        <f>IF(AND(ISNUMBER(C37),ISNUMBER($B$2)),((C37*Datos!$B38)/(1+Datos!$C38)/$B$2)-1,IF(ISNUMBER($B$2),"-","INSERTAR COSTO"))</f>
        <v>INSERTAR COSTO</v>
      </c>
      <c r="E37" s="48" t="str">
        <f>IF(ISNUMBER(Datos!F38),$E$3*(1+Datos!F38)/Datos!B38,"-")</f>
        <v>-</v>
      </c>
      <c r="F37" s="9" t="str">
        <f>IF(AND(ISNUMBER(E37),ISNUMBER($B$2)),((E37*Datos!$B38)/(1+Datos!$C38)/$B$2)-1,IF(ISNUMBER($B$2),"-","INSERTAR COSTO"))</f>
        <v>INSERTAR COSTO</v>
      </c>
      <c r="G37" s="48" t="str">
        <f>IF(ISNUMBER(Datos!G38),$G$3*(1+Datos!G38)/Datos!B38,"-")</f>
        <v>-</v>
      </c>
      <c r="H37" s="9" t="str">
        <f>IF(AND(ISNUMBER(G37),ISNUMBER($B$2)),((G37*Datos!$B38)/(1+Datos!$C38)/$B$2)-1,IF(ISNUMBER($B$2),"-","INSERTAR COSTO"))</f>
        <v>INSERTAR COSTO</v>
      </c>
      <c r="I37" s="48" t="str">
        <f>IF(ISNUMBER(Datos!H38),$I$3*(1+Datos!H38)/Datos!B38,"-")</f>
        <v>-</v>
      </c>
      <c r="J37" s="9" t="str">
        <f>IF(AND(ISNUMBER(I37),ISNUMBER($B$2)),((I37*Datos!$B38)/(1+Datos!$C38)/$B$2)-1,IF(ISNUMBER($B$2),"-","INSERTAR COSTO"))</f>
        <v>INSERTAR COSTO</v>
      </c>
      <c r="K37" s="48">
        <f>$K$3*(1+Datos!D38)/Datos!B38</f>
        <v>0</v>
      </c>
      <c r="L37" s="9" t="str">
        <f>IF(ISNUMBER($B$2),((K37*Datos!$B38)/(1+Datos!$C38)/$B$2)-1,"INSERTAR COSTO")</f>
        <v>INSERTAR COSTO</v>
      </c>
    </row>
    <row r="38" spans="1:12" ht="14.5" customHeight="1" x14ac:dyDescent="0.35">
      <c r="A38" s="21" t="str">
        <f>Datos!A39</f>
        <v>MERCADO PAGO</v>
      </c>
      <c r="B38" s="22" t="s">
        <v>13</v>
      </c>
      <c r="C38" s="48" t="str">
        <f>IF(ISNUMBER(Datos!E39),$C$3*(1+Datos!E39)/Datos!B39,"-")</f>
        <v>-</v>
      </c>
      <c r="D38" s="9" t="str">
        <f>IF(AND(ISNUMBER(C38),ISNUMBER($B$2)),((C38*Datos!$B39)/(1+Datos!$C39)/$B$2)-1,IF(ISNUMBER($B$2),"-","INSERTAR COSTO"))</f>
        <v>INSERTAR COSTO</v>
      </c>
      <c r="E38" s="48" t="str">
        <f>IF(ISNUMBER(Datos!F39),$E$3*(1+Datos!F39)/Datos!B39,"-")</f>
        <v>-</v>
      </c>
      <c r="F38" s="9" t="str">
        <f>IF(AND(ISNUMBER(E38),ISNUMBER($B$2)),((E38*Datos!$B39)/(1+Datos!$C39)/$B$2)-1,IF(ISNUMBER($B$2),"-","INSERTAR COSTO"))</f>
        <v>INSERTAR COSTO</v>
      </c>
      <c r="G38" s="48" t="str">
        <f>IF(ISNUMBER(Datos!G39),$G$3*(1+Datos!G39)/Datos!B39,"-")</f>
        <v>-</v>
      </c>
      <c r="H38" s="9" t="str">
        <f>IF(AND(ISNUMBER(G38),ISNUMBER($B$2)),((G38*Datos!$B39)/(1+Datos!$C39)/$B$2)-1,IF(ISNUMBER($B$2),"-","INSERTAR COSTO"))</f>
        <v>INSERTAR COSTO</v>
      </c>
      <c r="I38" s="48" t="str">
        <f>IF(ISNUMBER(Datos!H39),$I$3*(1+Datos!H39)/Datos!B39,"-")</f>
        <v>-</v>
      </c>
      <c r="J38" s="9" t="str">
        <f>IF(AND(ISNUMBER(I38),ISNUMBER($B$2)),((I38*Datos!$B39)/(1+Datos!$C39)/$B$2)-1,IF(ISNUMBER($B$2),"-","INSERTAR COSTO"))</f>
        <v>INSERTAR COSTO</v>
      </c>
      <c r="K38" s="48">
        <f>$K$3*(1+Datos!D39)/Datos!B39</f>
        <v>0</v>
      </c>
      <c r="L38" s="9" t="str">
        <f>IF(ISNUMBER($B$2),((K38*Datos!$B39)/(1+Datos!$C39)/$B$2)-1,"INSERTAR COSTO")</f>
        <v>INSERTAR COSTO</v>
      </c>
    </row>
    <row r="39" spans="1:12" ht="14.5" customHeight="1" x14ac:dyDescent="0.35">
      <c r="A39" s="21" t="str">
        <f>Datos!A40</f>
        <v>MERCADO PAGO</v>
      </c>
      <c r="B39" s="22" t="s">
        <v>50</v>
      </c>
      <c r="C39" s="48" t="str">
        <f>IF(ISNUMBER(Datos!E40),$C$3*(1+Datos!E40)/Datos!B40,"-")</f>
        <v>-</v>
      </c>
      <c r="D39" s="9" t="str">
        <f>IF(AND(ISNUMBER(C39),ISNUMBER($B$2)),((C39*Datos!$B40)/(1+Datos!$C40)/$B$2)-1,IF(ISNUMBER($B$2),"-","INSERTAR COSTO"))</f>
        <v>INSERTAR COSTO</v>
      </c>
      <c r="E39" s="48" t="str">
        <f>IF(ISNUMBER(Datos!F40),$E$3*(1+Datos!F40)/Datos!B40,"-")</f>
        <v>-</v>
      </c>
      <c r="F39" s="9" t="str">
        <f>IF(AND(ISNUMBER(E39),ISNUMBER($B$2)),((E39*Datos!$B40)/(1+Datos!$C40)/$B$2)-1,IF(ISNUMBER($B$2),"-","INSERTAR COSTO"))</f>
        <v>INSERTAR COSTO</v>
      </c>
      <c r="G39" s="48" t="str">
        <f>IF(ISNUMBER(Datos!G40),$G$3*(1+Datos!G40)/Datos!B40,"-")</f>
        <v>-</v>
      </c>
      <c r="H39" s="9" t="str">
        <f>IF(AND(ISNUMBER(G39),ISNUMBER($B$2)),((G39*Datos!$B40)/(1+Datos!$C40)/$B$2)-1,IF(ISNUMBER($B$2),"-","INSERTAR COSTO"))</f>
        <v>INSERTAR COSTO</v>
      </c>
      <c r="I39" s="48" t="str">
        <f>IF(ISNUMBER(Datos!H40),$I$3*(1+Datos!H40)/Datos!B40,"-")</f>
        <v>-</v>
      </c>
      <c r="J39" s="9" t="str">
        <f>IF(AND(ISNUMBER(I39),ISNUMBER($B$2)),((I39*Datos!$B40)/(1+Datos!$C40)/$B$2)-1,IF(ISNUMBER($B$2),"-","INSERTAR COSTO"))</f>
        <v>INSERTAR COSTO</v>
      </c>
      <c r="K39" s="48">
        <f>$K$3*(1+Datos!D40)/Datos!B40</f>
        <v>0</v>
      </c>
      <c r="L39" s="9" t="str">
        <f>IF(ISNUMBER($B$2),((K39*Datos!$B40)/(1+Datos!$C40)/$B$2)-1,"INSERTAR COSTO")</f>
        <v>INSERTAR COSTO</v>
      </c>
    </row>
    <row r="40" spans="1:12" ht="14.5" customHeight="1" x14ac:dyDescent="0.35">
      <c r="A40" s="21" t="str">
        <f>Datos!A41</f>
        <v>MERCADO PAGO</v>
      </c>
      <c r="B40" s="22" t="s">
        <v>51</v>
      </c>
      <c r="C40" s="48" t="str">
        <f>IF(ISNUMBER(Datos!E41),$C$3*(1+Datos!E41)/Datos!B41,"-")</f>
        <v>-</v>
      </c>
      <c r="D40" s="9" t="str">
        <f>IF(AND(ISNUMBER(C40),ISNUMBER($B$2)),((C40*Datos!$B41)/(1+Datos!$C41)/$B$2)-1,IF(ISNUMBER($B$2),"-","INSERTAR COSTO"))</f>
        <v>INSERTAR COSTO</v>
      </c>
      <c r="E40" s="48" t="str">
        <f>IF(ISNUMBER(Datos!F41),$E$3*(1+Datos!F41)/Datos!B41,"-")</f>
        <v>-</v>
      </c>
      <c r="F40" s="9" t="str">
        <f>IF(AND(ISNUMBER(E40),ISNUMBER($B$2)),((E40*Datos!$B41)/(1+Datos!$C41)/$B$2)-1,IF(ISNUMBER($B$2),"-","INSERTAR COSTO"))</f>
        <v>INSERTAR COSTO</v>
      </c>
      <c r="G40" s="48" t="str">
        <f>IF(ISNUMBER(Datos!G41),$G$3*(1+Datos!G41)/Datos!B41,"-")</f>
        <v>-</v>
      </c>
      <c r="H40" s="9" t="str">
        <f>IF(AND(ISNUMBER(G40),ISNUMBER($B$2)),((G40*Datos!$B41)/(1+Datos!$C41)/$B$2)-1,IF(ISNUMBER($B$2),"-","INSERTAR COSTO"))</f>
        <v>INSERTAR COSTO</v>
      </c>
      <c r="I40" s="48" t="str">
        <f>IF(ISNUMBER(Datos!H41),$I$3*(1+Datos!H41)/Datos!B41,"-")</f>
        <v>-</v>
      </c>
      <c r="J40" s="9" t="str">
        <f>IF(AND(ISNUMBER(I40),ISNUMBER($B$2)),((I40*Datos!$B41)/(1+Datos!$C41)/$B$2)-1,IF(ISNUMBER($B$2),"-","INSERTAR COSTO"))</f>
        <v>INSERTAR COSTO</v>
      </c>
      <c r="K40" s="48">
        <f>$K$3*(1+Datos!D41)/Datos!B41</f>
        <v>0</v>
      </c>
      <c r="L40" s="9" t="str">
        <f>IF(ISNUMBER($B$2),((K40*Datos!$B41)/(1+Datos!$C41)/$B$2)-1,"INSERTAR COSTO")</f>
        <v>INSERTAR COSTO</v>
      </c>
    </row>
    <row r="41" spans="1:12" ht="14.5" customHeight="1" x14ac:dyDescent="0.35">
      <c r="A41" s="21" t="str">
        <f>Datos!A42</f>
        <v>MERCADO PAGO</v>
      </c>
      <c r="B41" s="22" t="s">
        <v>52</v>
      </c>
      <c r="C41" s="48" t="str">
        <f>IF(ISNUMBER(Datos!E42),$C$3*(1+Datos!E42)/Datos!B42,"-")</f>
        <v>-</v>
      </c>
      <c r="D41" s="9" t="str">
        <f>IF(AND(ISNUMBER(C41),ISNUMBER($B$2)),((C41*Datos!$B42)/(1+Datos!$C42)/$B$2)-1,IF(ISNUMBER($B$2),"-","INSERTAR COSTO"))</f>
        <v>INSERTAR COSTO</v>
      </c>
      <c r="E41" s="48" t="str">
        <f>IF(ISNUMBER(Datos!F42),$E$3*(1+Datos!F42)/Datos!B42,"-")</f>
        <v>-</v>
      </c>
      <c r="F41" s="9" t="str">
        <f>IF(AND(ISNUMBER(E41),ISNUMBER($B$2)),((E41*Datos!$B42)/(1+Datos!$C42)/$B$2)-1,IF(ISNUMBER($B$2),"-","INSERTAR COSTO"))</f>
        <v>INSERTAR COSTO</v>
      </c>
      <c r="G41" s="48" t="str">
        <f>IF(ISNUMBER(Datos!G42),$G$3*(1+Datos!G42)/Datos!B42,"-")</f>
        <v>-</v>
      </c>
      <c r="H41" s="9" t="str">
        <f>IF(AND(ISNUMBER(G41),ISNUMBER($B$2)),((G41*Datos!$B42)/(1+Datos!$C42)/$B$2)-1,IF(ISNUMBER($B$2),"-","INSERTAR COSTO"))</f>
        <v>INSERTAR COSTO</v>
      </c>
      <c r="I41" s="48" t="str">
        <f>IF(ISNUMBER(Datos!H42),$I$3*(1+Datos!H42)/Datos!B42,"-")</f>
        <v>-</v>
      </c>
      <c r="J41" s="9" t="str">
        <f>IF(AND(ISNUMBER(I41),ISNUMBER($B$2)),((I41*Datos!$B42)/(1+Datos!$C42)/$B$2)-1,IF(ISNUMBER($B$2),"-","INSERTAR COSTO"))</f>
        <v>INSERTAR COSTO</v>
      </c>
      <c r="K41" s="48">
        <f>$K$3*(1+Datos!D42)/Datos!B42</f>
        <v>0</v>
      </c>
      <c r="L41" s="9" t="str">
        <f>IF(ISNUMBER($B$2),((K41*Datos!$B42)/(1+Datos!$C42)/$B$2)-1,"INSERTAR COSTO")</f>
        <v>INSERTAR COSTO</v>
      </c>
    </row>
    <row r="42" spans="1:12" ht="14.5" customHeight="1" x14ac:dyDescent="0.35">
      <c r="A42" s="21" t="str">
        <f>Datos!A43</f>
        <v>MERCADO PAGO</v>
      </c>
      <c r="B42" s="22" t="s">
        <v>53</v>
      </c>
      <c r="C42" s="48" t="str">
        <f>IF(ISNUMBER(Datos!E43),$C$3*(1+Datos!E43)/Datos!B43,"-")</f>
        <v>-</v>
      </c>
      <c r="D42" s="9" t="str">
        <f>IF(AND(ISNUMBER(C42),ISNUMBER($B$2)),((C42*Datos!$B43)/(1+Datos!$C43)/$B$2)-1,IF(ISNUMBER($B$2),"-","INSERTAR COSTO"))</f>
        <v>INSERTAR COSTO</v>
      </c>
      <c r="E42" s="48" t="str">
        <f>IF(ISNUMBER(Datos!F43),$E$3*(1+Datos!F43)/Datos!B43,"-")</f>
        <v>-</v>
      </c>
      <c r="F42" s="9" t="str">
        <f>IF(AND(ISNUMBER(E42),ISNUMBER($B$2)),((E42*Datos!$B43)/(1+Datos!$C43)/$B$2)-1,IF(ISNUMBER($B$2),"-","INSERTAR COSTO"))</f>
        <v>INSERTAR COSTO</v>
      </c>
      <c r="G42" s="48" t="str">
        <f>IF(ISNUMBER(Datos!G43),$G$3*(1+Datos!G43)/Datos!B43,"-")</f>
        <v>-</v>
      </c>
      <c r="H42" s="9" t="str">
        <f>IF(AND(ISNUMBER(G42),ISNUMBER($B$2)),((G42*Datos!$B43)/(1+Datos!$C43)/$B$2)-1,IF(ISNUMBER($B$2),"-","INSERTAR COSTO"))</f>
        <v>INSERTAR COSTO</v>
      </c>
      <c r="I42" s="48" t="str">
        <f>IF(ISNUMBER(Datos!H43),$I$3*(1+Datos!H43)/Datos!B43,"-")</f>
        <v>-</v>
      </c>
      <c r="J42" s="9" t="str">
        <f>IF(AND(ISNUMBER(I42),ISNUMBER($B$2)),((I42*Datos!$B43)/(1+Datos!$C43)/$B$2)-1,IF(ISNUMBER($B$2),"-","INSERTAR COSTO"))</f>
        <v>INSERTAR COSTO</v>
      </c>
      <c r="K42" s="48">
        <f>$K$3*(1+Datos!D43)/Datos!B43</f>
        <v>0</v>
      </c>
      <c r="L42" s="9" t="str">
        <f>IF(ISNUMBER($B$2),((K42*Datos!$B43)/(1+Datos!$C43)/$B$2)-1,"INSERTAR COSTO")</f>
        <v>INSERTAR COSTO</v>
      </c>
    </row>
    <row r="43" spans="1:12" ht="14.5" customHeight="1" x14ac:dyDescent="0.35">
      <c r="A43" s="21" t="str">
        <f>Datos!A45</f>
        <v>MERCADO PAGO</v>
      </c>
      <c r="B43" s="23" t="s">
        <v>54</v>
      </c>
      <c r="C43" s="48" t="str">
        <f>IF(ISNUMBER(Datos!E44),$C$3*(1+Datos!E44)/Datos!B44,"-")</f>
        <v>-</v>
      </c>
      <c r="D43" s="9" t="str">
        <f>IF(AND(ISNUMBER(C43),ISNUMBER($B$2)),((C43*Datos!$B44)/(1+Datos!$C44)/$B$2)-1,IF(ISNUMBER($B$2),"-","INSERTAR COSTO"))</f>
        <v>INSERTAR COSTO</v>
      </c>
      <c r="E43" s="48" t="str">
        <f>IF(ISNUMBER(Datos!F44),$E$3*(1+Datos!F44)/Datos!B44,"-")</f>
        <v>-</v>
      </c>
      <c r="F43" s="9" t="str">
        <f>IF(AND(ISNUMBER(E43),ISNUMBER($B$2)),((E43*Datos!$B44)/(1+Datos!$C44)/$B$2)-1,IF(ISNUMBER($B$2),"-","INSERTAR COSTO"))</f>
        <v>INSERTAR COSTO</v>
      </c>
      <c r="G43" s="48" t="str">
        <f>IF(ISNUMBER(Datos!G44),$G$3*(1+Datos!G44)/Datos!B44,"-")</f>
        <v>-</v>
      </c>
      <c r="H43" s="9" t="str">
        <f>IF(AND(ISNUMBER(G43),ISNUMBER($B$2)),((G43*Datos!$B44)/(1+Datos!$C44)/$B$2)-1,IF(ISNUMBER($B$2),"-","INSERTAR COSTO"))</f>
        <v>INSERTAR COSTO</v>
      </c>
      <c r="I43" s="48" t="str">
        <f>IF(ISNUMBER(Datos!H44),$I$3*(1+Datos!H44)/Datos!B44,"-")</f>
        <v>-</v>
      </c>
      <c r="J43" s="9" t="str">
        <f>IF(AND(ISNUMBER(I43),ISNUMBER($B$2)),((I43*Datos!$B44)/(1+Datos!$C44)/$B$2)-1,IF(ISNUMBER($B$2),"-","INSERTAR COSTO"))</f>
        <v>INSERTAR COSTO</v>
      </c>
      <c r="K43" s="48">
        <f>$K$3*(1+Datos!D44)/Datos!B44</f>
        <v>0</v>
      </c>
      <c r="L43" s="9" t="str">
        <f>IF(ISNUMBER($B$2),((K43*Datos!$B44)/(1+Datos!$C44)/$B$2)-1,"INSERTAR COSTO")</f>
        <v>INSERTAR COSTO</v>
      </c>
    </row>
    <row r="44" spans="1:12" ht="14.5" customHeight="1" x14ac:dyDescent="0.35">
      <c r="A44" s="21" t="str">
        <f>Datos!A45</f>
        <v>MERCADO PAGO</v>
      </c>
      <c r="B44" s="22" t="s">
        <v>55</v>
      </c>
      <c r="C44" s="48" t="str">
        <f>IF(ISNUMBER(Datos!E45),$C$3*(1+Datos!E45)/Datos!B45,"-")</f>
        <v>-</v>
      </c>
      <c r="D44" s="9" t="str">
        <f>IF(AND(ISNUMBER(C44),ISNUMBER($B$2)),((C44*Datos!$B45)/(1+Datos!$C45)/$B$2)-1,IF(ISNUMBER($B$2),"-","INSERTAR COSTO"))</f>
        <v>INSERTAR COSTO</v>
      </c>
      <c r="E44" s="48" t="str">
        <f>IF(ISNUMBER(Datos!F45),$E$3*(1+Datos!F45)/Datos!B45,"-")</f>
        <v>-</v>
      </c>
      <c r="F44" s="9" t="str">
        <f>IF(AND(ISNUMBER(E44),ISNUMBER($B$2)),((E44*Datos!$B45)/(1+Datos!$C45)/$B$2)-1,IF(ISNUMBER($B$2),"-","INSERTAR COSTO"))</f>
        <v>INSERTAR COSTO</v>
      </c>
      <c r="G44" s="48" t="str">
        <f>IF(ISNUMBER(Datos!G45),$G$3*(1+Datos!G45)/Datos!B45,"-")</f>
        <v>-</v>
      </c>
      <c r="H44" s="9" t="str">
        <f>IF(AND(ISNUMBER(G44),ISNUMBER($B$2)),((G44*Datos!$B45)/(1+Datos!$C45)/$B$2)-1,IF(ISNUMBER($B$2),"-","INSERTAR COSTO"))</f>
        <v>INSERTAR COSTO</v>
      </c>
      <c r="I44" s="48" t="str">
        <f>IF(ISNUMBER(Datos!H45),$I$3*(1+Datos!H45)/Datos!B45,"-")</f>
        <v>-</v>
      </c>
      <c r="J44" s="9" t="str">
        <f>IF(AND(ISNUMBER(I44),ISNUMBER($B$2)),((I44*Datos!$B45)/(1+Datos!$C45)/$B$2)-1,IF(ISNUMBER($B$2),"-","INSERTAR COSTO"))</f>
        <v>INSERTAR COSTO</v>
      </c>
      <c r="K44" s="48">
        <f>$K$3*(1+Datos!D45)/Datos!B45</f>
        <v>0</v>
      </c>
      <c r="L44" s="9" t="str">
        <f>IF(ISNUMBER($B$2),((K44*Datos!$B45)/(1+Datos!$C45)/$B$2)-1,"INSERTAR COSTO")</f>
        <v>INSERTAR COSTO</v>
      </c>
    </row>
    <row r="45" spans="1:12" ht="14.5" customHeight="1" x14ac:dyDescent="0.35">
      <c r="A45" s="21" t="str">
        <f>Datos!A46</f>
        <v>MERCADO PAGO</v>
      </c>
      <c r="B45" s="23" t="s">
        <v>56</v>
      </c>
      <c r="C45" s="48" t="str">
        <f>IF(ISNUMBER(Datos!E46),$C$3*(1+Datos!E46)/Datos!B46,"-")</f>
        <v>-</v>
      </c>
      <c r="D45" s="9" t="str">
        <f>IF(AND(ISNUMBER(C45),ISNUMBER($B$2)),((C45*Datos!$B46)/(1+Datos!$C46)/$B$2)-1,IF(ISNUMBER($B$2),"-","INSERTAR COSTO"))</f>
        <v>INSERTAR COSTO</v>
      </c>
      <c r="E45" s="48" t="str">
        <f>IF(ISNUMBER(Datos!F46),$E$3*(1+Datos!F46)/Datos!B46,"-")</f>
        <v>-</v>
      </c>
      <c r="F45" s="9" t="str">
        <f>IF(AND(ISNUMBER(E45),ISNUMBER($B$2)),((E45*Datos!$B46)/(1+Datos!$C46)/$B$2)-1,IF(ISNUMBER($B$2),"-","INSERTAR COSTO"))</f>
        <v>INSERTAR COSTO</v>
      </c>
      <c r="G45" s="48" t="str">
        <f>IF(ISNUMBER(Datos!G46),$G$3*(1+Datos!G46)/Datos!B46,"-")</f>
        <v>-</v>
      </c>
      <c r="H45" s="9" t="str">
        <f>IF(AND(ISNUMBER(G45),ISNUMBER($B$2)),((G45*Datos!$B46)/(1+Datos!$C46)/$B$2)-1,IF(ISNUMBER($B$2),"-","INSERTAR COSTO"))</f>
        <v>INSERTAR COSTO</v>
      </c>
      <c r="I45" s="48" t="str">
        <f>IF(ISNUMBER(Datos!H46),$I$3*(1+Datos!H46)/Datos!B46,"-")</f>
        <v>-</v>
      </c>
      <c r="J45" s="9" t="str">
        <f>IF(AND(ISNUMBER(I45),ISNUMBER($B$2)),((I45*Datos!$B46)/(1+Datos!$C46)/$B$2)-1,IF(ISNUMBER($B$2),"-","INSERTAR COSTO"))</f>
        <v>INSERTAR COSTO</v>
      </c>
      <c r="K45" s="48">
        <f>$K$3*(1+Datos!D46)/Datos!B46</f>
        <v>0</v>
      </c>
      <c r="L45" s="9" t="str">
        <f>IF(ISNUMBER($B$2),((K45*Datos!$B46)/(1+Datos!$C46)/$B$2)-1,"INSERTAR COSTO")</f>
        <v>INSERTAR COSTO</v>
      </c>
    </row>
    <row r="46" spans="1:12" ht="14.5" customHeight="1" x14ac:dyDescent="0.35">
      <c r="A46" s="21" t="str">
        <f>Datos!A47</f>
        <v>MERCADO PAGO</v>
      </c>
      <c r="B46" s="23" t="s">
        <v>57</v>
      </c>
      <c r="C46" s="48" t="str">
        <f>IF(ISNUMBER(Datos!E47),$C$3*(1+Datos!E47)/Datos!B47,"-")</f>
        <v>-</v>
      </c>
      <c r="D46" s="9" t="str">
        <f>IF(AND(ISNUMBER(C46),ISNUMBER($B$2)),((C46*Datos!$B47)/(1+Datos!$C47)/$B$2)-1,IF(ISNUMBER($B$2),"-","INSERTAR COSTO"))</f>
        <v>INSERTAR COSTO</v>
      </c>
      <c r="E46" s="48" t="str">
        <f>IF(ISNUMBER(Datos!F47),$E$3*(1+Datos!F47)/Datos!B47,"-")</f>
        <v>-</v>
      </c>
      <c r="F46" s="9" t="str">
        <f>IF(AND(ISNUMBER(E46),ISNUMBER($B$2)),((E46*Datos!$B47)/(1+Datos!$C47)/$B$2)-1,IF(ISNUMBER($B$2),"-","INSERTAR COSTO"))</f>
        <v>INSERTAR COSTO</v>
      </c>
      <c r="G46" s="48" t="str">
        <f>IF(ISNUMBER(Datos!G47),$G$3*(1+Datos!G47)/Datos!B47,"-")</f>
        <v>-</v>
      </c>
      <c r="H46" s="9" t="str">
        <f>IF(AND(ISNUMBER(G46),ISNUMBER($B$2)),((G46*Datos!$B47)/(1+Datos!$C47)/$B$2)-1,IF(ISNUMBER($B$2),"-","INSERTAR COSTO"))</f>
        <v>INSERTAR COSTO</v>
      </c>
      <c r="I46" s="48" t="str">
        <f>IF(ISNUMBER(Datos!H47),$I$3*(1+Datos!H47)/Datos!B47,"-")</f>
        <v>-</v>
      </c>
      <c r="J46" s="9" t="str">
        <f>IF(AND(ISNUMBER(I46),ISNUMBER($B$2)),((I46*Datos!$B47)/(1+Datos!$C47)/$B$2)-1,IF(ISNUMBER($B$2),"-","INSERTAR COSTO"))</f>
        <v>INSERTAR COSTO</v>
      </c>
      <c r="K46" s="48">
        <f>$K$3*(1+Datos!D47)/Datos!B47</f>
        <v>0</v>
      </c>
      <c r="L46" s="9" t="str">
        <f>IF(ISNUMBER($B$2),((K46*Datos!$B47)/(1+Datos!$C47)/$B$2)-1,"INSERTAR COSTO")</f>
        <v>INSERTAR COSTO</v>
      </c>
    </row>
    <row r="47" spans="1:12" ht="14.5" hidden="1" customHeight="1" x14ac:dyDescent="0.35">
      <c r="A47" s="24" t="str">
        <f>Datos!A48</f>
        <v>GETNET SANTANDER</v>
      </c>
      <c r="B47" s="25" t="s">
        <v>59</v>
      </c>
      <c r="C47" s="48" t="str">
        <f>IF(ISNUMBER(Datos!E48),$C$3*(1+Datos!E48)/Datos!B48,"-")</f>
        <v>-</v>
      </c>
      <c r="D47" s="9" t="str">
        <f>IF(AND(ISNUMBER(C47),ISNUMBER($B$2)),((C47*Datos!$B48)/(1+Datos!$C48)/$B$2)-1,IF(ISNUMBER($B$2),"-","INSERTAR COSTO"))</f>
        <v>INSERTAR COSTO</v>
      </c>
      <c r="E47" s="48" t="str">
        <f>IF(ISNUMBER(Datos!F48),$E$3*(1+Datos!F48)/Datos!B48,"-")</f>
        <v>-</v>
      </c>
      <c r="F47" s="9" t="str">
        <f>IF(AND(ISNUMBER(E47),ISNUMBER($B$2)),((E47*Datos!$B48)/(1+Datos!$C48)/$B$2)-1,IF(ISNUMBER($B$2),"-","INSERTAR COSTO"))</f>
        <v>INSERTAR COSTO</v>
      </c>
      <c r="G47" s="48" t="str">
        <f>IF(ISNUMBER(Datos!G48),$G$3*(1+Datos!G48)/Datos!B48,"-")</f>
        <v>-</v>
      </c>
      <c r="H47" s="9" t="str">
        <f>IF(AND(ISNUMBER(G47),ISNUMBER($B$2)),((G47*Datos!$B48)/(1+Datos!$C48)/$B$2)-1,IF(ISNUMBER($B$2),"-","INSERTAR COSTO"))</f>
        <v>INSERTAR COSTO</v>
      </c>
      <c r="I47" s="48" t="str">
        <f>IF(ISNUMBER(Datos!H48),$I$3*(1+Datos!H48)/Datos!B48,"-")</f>
        <v>-</v>
      </c>
      <c r="J47" s="9" t="str">
        <f>IF(AND(ISNUMBER(I47),ISNUMBER($B$2)),((I47*Datos!$B48)/(1+Datos!$C48)/$B$2)-1,IF(ISNUMBER($B$2),"-","INSERTAR COSTO"))</f>
        <v>INSERTAR COSTO</v>
      </c>
      <c r="K47" s="48">
        <f>$K$3*(1+Datos!D48)/Datos!B48</f>
        <v>0</v>
      </c>
      <c r="L47" s="9" t="str">
        <f>IF(ISNUMBER($B$2),((K47*Datos!$B48)/(1+Datos!$C48)/$B$2)-1,"INSERTAR COSTO")</f>
        <v>INSERTAR COSTO</v>
      </c>
    </row>
    <row r="48" spans="1:12" ht="14.5" hidden="1" customHeight="1" x14ac:dyDescent="0.35">
      <c r="A48" s="24" t="str">
        <f>Datos!A49</f>
        <v>GETNET SANTANDER</v>
      </c>
      <c r="B48" s="25" t="s">
        <v>60</v>
      </c>
      <c r="C48" s="48" t="str">
        <f>IF(ISNUMBER(Datos!E49),$C$3*(1+Datos!E49)/Datos!B49,"-")</f>
        <v>-</v>
      </c>
      <c r="D48" s="9" t="str">
        <f>IF(AND(ISNUMBER(C48),ISNUMBER($B$2)),((C48*Datos!$B49)/(1+Datos!$C49)/$B$2)-1,IF(ISNUMBER($B$2),"-","INSERTAR COSTO"))</f>
        <v>INSERTAR COSTO</v>
      </c>
      <c r="E48" s="48" t="str">
        <f>IF(ISNUMBER(Datos!F49),$E$3*(1+Datos!F49)/Datos!B49,"-")</f>
        <v>-</v>
      </c>
      <c r="F48" s="9" t="str">
        <f>IF(AND(ISNUMBER(E48),ISNUMBER($B$2)),((E48*Datos!$B49)/(1+Datos!$C49)/$B$2)-1,IF(ISNUMBER($B$2),"-","INSERTAR COSTO"))</f>
        <v>INSERTAR COSTO</v>
      </c>
      <c r="G48" s="48" t="str">
        <f>IF(ISNUMBER(Datos!G49),$G$3*(1+Datos!G49)/Datos!B49,"-")</f>
        <v>-</v>
      </c>
      <c r="H48" s="9" t="str">
        <f>IF(AND(ISNUMBER(G48),ISNUMBER($B$2)),((G48*Datos!$B49)/(1+Datos!$C49)/$B$2)-1,IF(ISNUMBER($B$2),"-","INSERTAR COSTO"))</f>
        <v>INSERTAR COSTO</v>
      </c>
      <c r="I48" s="48" t="str">
        <f>IF(ISNUMBER(Datos!H49),$I$3*(1+Datos!H49)/Datos!B49,"-")</f>
        <v>-</v>
      </c>
      <c r="J48" s="9" t="str">
        <f>IF(AND(ISNUMBER(I48),ISNUMBER($B$2)),((I48*Datos!$B49)/(1+Datos!$C49)/$B$2)-1,IF(ISNUMBER($B$2),"-","INSERTAR COSTO"))</f>
        <v>INSERTAR COSTO</v>
      </c>
      <c r="K48" s="48">
        <f>$K$3*(1+Datos!D49)/Datos!B49</f>
        <v>0</v>
      </c>
      <c r="L48" s="9" t="str">
        <f>IF(ISNUMBER($B$2),((K48*Datos!$B49)/(1+Datos!$C49)/$B$2)-1,"INSERTAR COSTO")</f>
        <v>INSERTAR COSTO</v>
      </c>
    </row>
    <row r="49" spans="1:13" ht="14.5" hidden="1" customHeight="1" x14ac:dyDescent="0.35">
      <c r="A49" s="24" t="str">
        <f>Datos!A50</f>
        <v>GETNET SANTANDER</v>
      </c>
      <c r="B49" s="25" t="s">
        <v>61</v>
      </c>
      <c r="C49" s="48" t="str">
        <f>IF(ISNUMBER(Datos!E50),$C$3*(1+Datos!E50)/Datos!B50,"-")</f>
        <v>-</v>
      </c>
      <c r="D49" s="9" t="str">
        <f>IF(AND(ISNUMBER(C49),ISNUMBER($B$2)),((C49*Datos!$B50)/(1+Datos!$C50)/$B$2)-1,IF(ISNUMBER($B$2),"-","INSERTAR COSTO"))</f>
        <v>INSERTAR COSTO</v>
      </c>
      <c r="E49" s="48" t="str">
        <f>IF(ISNUMBER(Datos!F50),$E$3*(1+Datos!F50)/Datos!B50,"-")</f>
        <v>-</v>
      </c>
      <c r="F49" s="9" t="str">
        <f>IF(AND(ISNUMBER(E49),ISNUMBER($B$2)),((E49*Datos!$B50)/(1+Datos!$C50)/$B$2)-1,IF(ISNUMBER($B$2),"-","INSERTAR COSTO"))</f>
        <v>INSERTAR COSTO</v>
      </c>
      <c r="G49" s="48" t="str">
        <f>IF(ISNUMBER(Datos!G50),$G$3*(1+Datos!G50)/Datos!B50,"-")</f>
        <v>-</v>
      </c>
      <c r="H49" s="9" t="str">
        <f>IF(AND(ISNUMBER(G49),ISNUMBER($B$2)),((G49*Datos!$B50)/(1+Datos!$C50)/$B$2)-1,IF(ISNUMBER($B$2),"-","INSERTAR COSTO"))</f>
        <v>INSERTAR COSTO</v>
      </c>
      <c r="I49" s="48" t="str">
        <f>IF(ISNUMBER(Datos!H50),$I$3*(1+Datos!H50)/Datos!B50,"-")</f>
        <v>-</v>
      </c>
      <c r="J49" s="9" t="str">
        <f>IF(AND(ISNUMBER(I49),ISNUMBER($B$2)),((I49*Datos!$B50)/(1+Datos!$C50)/$B$2)-1,IF(ISNUMBER($B$2),"-","INSERTAR COSTO"))</f>
        <v>INSERTAR COSTO</v>
      </c>
      <c r="K49" s="48">
        <f>$K$3*(1+Datos!D50)/Datos!B50</f>
        <v>0</v>
      </c>
      <c r="L49" s="9" t="str">
        <f>IF(ISNUMBER($B$2),((K49*Datos!$B50)/(1+Datos!$C50)/$B$2)-1,"INSERTAR COSTO")</f>
        <v>INSERTAR COSTO</v>
      </c>
    </row>
    <row r="50" spans="1:13" ht="14.5" hidden="1" customHeight="1" x14ac:dyDescent="0.35">
      <c r="A50" s="24" t="str">
        <f>Datos!A51</f>
        <v>GETNET SANTANDER</v>
      </c>
      <c r="B50" s="25" t="s">
        <v>62</v>
      </c>
      <c r="C50" s="48" t="str">
        <f>IF(ISNUMBER(Datos!E51),$C$3*(1+Datos!E51)/Datos!B51,"-")</f>
        <v>-</v>
      </c>
      <c r="D50" s="9" t="str">
        <f>IF(AND(ISNUMBER(C50),ISNUMBER($B$2)),((C50*Datos!$B51)/(1+Datos!$C51)/$B$2)-1,IF(ISNUMBER($B$2),"-","INSERTAR COSTO"))</f>
        <v>INSERTAR COSTO</v>
      </c>
      <c r="E50" s="48" t="str">
        <f>IF(ISNUMBER(Datos!F51),$E$3*(1+Datos!F51)/Datos!B51,"-")</f>
        <v>-</v>
      </c>
      <c r="F50" s="9" t="str">
        <f>IF(AND(ISNUMBER(E50),ISNUMBER($B$2)),((E50*Datos!$B51)/(1+Datos!$C51)/$B$2)-1,IF(ISNUMBER($B$2),"-","INSERTAR COSTO"))</f>
        <v>INSERTAR COSTO</v>
      </c>
      <c r="G50" s="48" t="str">
        <f>IF(ISNUMBER(Datos!G51),$G$3*(1+Datos!G51)/Datos!B51,"-")</f>
        <v>-</v>
      </c>
      <c r="H50" s="9" t="str">
        <f>IF(AND(ISNUMBER(G50),ISNUMBER($B$2)),((G50*Datos!$B51)/(1+Datos!$C51)/$B$2)-1,IF(ISNUMBER($B$2),"-","INSERTAR COSTO"))</f>
        <v>INSERTAR COSTO</v>
      </c>
      <c r="I50" s="48" t="str">
        <f>IF(ISNUMBER(Datos!H51),$I$3*(1+Datos!H51)/Datos!B51,"-")</f>
        <v>-</v>
      </c>
      <c r="J50" s="9" t="str">
        <f>IF(AND(ISNUMBER(I50),ISNUMBER($B$2)),((I50*Datos!$B51)/(1+Datos!$C51)/$B$2)-1,IF(ISNUMBER($B$2),"-","INSERTAR COSTO"))</f>
        <v>INSERTAR COSTO</v>
      </c>
      <c r="K50" s="48">
        <f>$K$3*(1+Datos!D51)/Datos!B51</f>
        <v>0</v>
      </c>
      <c r="L50" s="9" t="str">
        <f>IF(ISNUMBER($B$2),((K50*Datos!$B51)/(1+Datos!$C51)/$B$2)-1,"INSERTAR COSTO")</f>
        <v>INSERTAR COSTO</v>
      </c>
    </row>
    <row r="51" spans="1:13" ht="14.5" hidden="1" customHeight="1" x14ac:dyDescent="0.35">
      <c r="A51" s="24" t="str">
        <f>Datos!A52</f>
        <v>GETNET SANTANDER</v>
      </c>
      <c r="B51" s="25" t="s">
        <v>63</v>
      </c>
      <c r="C51" s="48" t="str">
        <f>IF(ISNUMBER(Datos!E52),$C$3*(1+Datos!E52)/Datos!B52,"-")</f>
        <v>-</v>
      </c>
      <c r="D51" s="9" t="str">
        <f>IF(AND(ISNUMBER(C51),ISNUMBER($B$2)),((C51*Datos!$B52)/(1+Datos!$C52)/$B$2)-1,IF(ISNUMBER($B$2),"-","INSERTAR COSTO"))</f>
        <v>INSERTAR COSTO</v>
      </c>
      <c r="E51" s="48" t="str">
        <f>IF(ISNUMBER(Datos!F52),$E$3*(1+Datos!F52)/Datos!B52,"-")</f>
        <v>-</v>
      </c>
      <c r="F51" s="9" t="str">
        <f>IF(AND(ISNUMBER(E51),ISNUMBER($B$2)),((E51*Datos!$B52)/(1+Datos!$C52)/$B$2)-1,IF(ISNUMBER($B$2),"-","INSERTAR COSTO"))</f>
        <v>INSERTAR COSTO</v>
      </c>
      <c r="G51" s="48" t="str">
        <f>IF(ISNUMBER(Datos!G52),$G$3*(1+Datos!G52)/Datos!B52,"-")</f>
        <v>-</v>
      </c>
      <c r="H51" s="9" t="str">
        <f>IF(AND(ISNUMBER(G51),ISNUMBER($B$2)),((G51*Datos!$B52)/(1+Datos!$C52)/$B$2)-1,IF(ISNUMBER($B$2),"-","INSERTAR COSTO"))</f>
        <v>INSERTAR COSTO</v>
      </c>
      <c r="I51" s="48" t="str">
        <f>IF(ISNUMBER(Datos!H52),$I$3*(1+Datos!H52)/Datos!B52,"-")</f>
        <v>-</v>
      </c>
      <c r="J51" s="9" t="str">
        <f>IF(AND(ISNUMBER(I51),ISNUMBER($B$2)),((I51*Datos!$B52)/(1+Datos!$C52)/$B$2)-1,IF(ISNUMBER($B$2),"-","INSERTAR COSTO"))</f>
        <v>INSERTAR COSTO</v>
      </c>
      <c r="K51" s="48">
        <f>$K$3*(1+Datos!D52)/Datos!B52</f>
        <v>0</v>
      </c>
      <c r="L51" s="9" t="str">
        <f>IF(ISNUMBER($B$2),((K51*Datos!$B52)/(1+Datos!$C52)/$B$2)-1,"INSERTAR COSTO")</f>
        <v>INSERTAR COSTO</v>
      </c>
    </row>
    <row r="52" spans="1:13" ht="14.5" hidden="1" customHeight="1" x14ac:dyDescent="0.35">
      <c r="A52" s="24" t="str">
        <f>Datos!A53</f>
        <v>GETNET SANTANDER</v>
      </c>
      <c r="B52" s="25" t="s">
        <v>64</v>
      </c>
      <c r="C52" s="48" t="str">
        <f>IF(ISNUMBER(Datos!E53),$C$3*(1+Datos!E53)/Datos!B53,"-")</f>
        <v>-</v>
      </c>
      <c r="D52" s="9" t="str">
        <f>IF(AND(ISNUMBER(C52),ISNUMBER($B$2)),((C52*Datos!$B53)/(1+Datos!$C53)/$B$2)-1,IF(ISNUMBER($B$2),"-","INSERTAR COSTO"))</f>
        <v>INSERTAR COSTO</v>
      </c>
      <c r="E52" s="48" t="str">
        <f>IF(ISNUMBER(Datos!F53),$E$3*(1+Datos!F53)/Datos!B53,"-")</f>
        <v>-</v>
      </c>
      <c r="F52" s="9" t="str">
        <f>IF(AND(ISNUMBER(E52),ISNUMBER($B$2)),((E52*Datos!$B53)/(1+Datos!$C53)/$B$2)-1,IF(ISNUMBER($B$2),"-","INSERTAR COSTO"))</f>
        <v>INSERTAR COSTO</v>
      </c>
      <c r="G52" s="48" t="str">
        <f>IF(ISNUMBER(Datos!G53),$G$3*(1+Datos!G53)/Datos!B53,"-")</f>
        <v>-</v>
      </c>
      <c r="H52" s="9" t="str">
        <f>IF(AND(ISNUMBER(G52),ISNUMBER($B$2)),((G52*Datos!$B53)/(1+Datos!$C53)/$B$2)-1,IF(ISNUMBER($B$2),"-","INSERTAR COSTO"))</f>
        <v>INSERTAR COSTO</v>
      </c>
      <c r="I52" s="48" t="str">
        <f>IF(ISNUMBER(Datos!H53),$I$3*(1+Datos!H53)/Datos!B53,"-")</f>
        <v>-</v>
      </c>
      <c r="J52" s="9" t="str">
        <f>IF(AND(ISNUMBER(I52),ISNUMBER($B$2)),((I52*Datos!$B53)/(1+Datos!$C53)/$B$2)-1,IF(ISNUMBER($B$2),"-","INSERTAR COSTO"))</f>
        <v>INSERTAR COSTO</v>
      </c>
      <c r="K52" s="48">
        <f>$K$3*(1+Datos!D53)/Datos!B53</f>
        <v>0</v>
      </c>
      <c r="L52" s="9" t="str">
        <f>IF(ISNUMBER($B$2),((K52*Datos!$B53)/(1+Datos!$C53)/$B$2)-1,"INSERTAR COSTO")</f>
        <v>INSERTAR COSTO</v>
      </c>
    </row>
    <row r="53" spans="1:13" ht="14.5" customHeight="1" x14ac:dyDescent="0.35">
      <c r="A53" s="26" t="str">
        <f>Datos!A54</f>
        <v>CREDIMAS</v>
      </c>
      <c r="B53" s="27" t="s">
        <v>66</v>
      </c>
      <c r="C53" s="48" t="str">
        <f>IF(ISNUMBER(Datos!E54),$C$3*(1+Datos!E54)/Datos!B54,"-")</f>
        <v>-</v>
      </c>
      <c r="D53" s="9" t="str">
        <f>IF(AND(ISNUMBER(C53),ISNUMBER($B$2)),((C53*Datos!$B54)/(1+Datos!$C54)/$B$2)-1,IF(ISNUMBER($B$2),"-","INSERTAR COSTO"))</f>
        <v>INSERTAR COSTO</v>
      </c>
      <c r="E53" s="48" t="str">
        <f>IF(ISNUMBER(Datos!F54),$E$3*(1+Datos!F54)/Datos!B54,"-")</f>
        <v>-</v>
      </c>
      <c r="F53" s="9" t="str">
        <f>IF(AND(ISNUMBER(E53),ISNUMBER($B$2)),((E53*Datos!$B54)/(1+Datos!$C54)/$B$2)-1,IF(ISNUMBER($B$2),"-","INSERTAR COSTO"))</f>
        <v>INSERTAR COSTO</v>
      </c>
      <c r="G53" s="48" t="str">
        <f>IF(ISNUMBER(Datos!G54),$G$3*(1+Datos!G54)/Datos!B54,"-")</f>
        <v>-</v>
      </c>
      <c r="H53" s="9" t="str">
        <f>IF(AND(ISNUMBER(G53),ISNUMBER($B$2)),((G53*Datos!$B54)/(1+Datos!$C54)/$B$2)-1,IF(ISNUMBER($B$2),"-","INSERTAR COSTO"))</f>
        <v>INSERTAR COSTO</v>
      </c>
      <c r="I53" s="48" t="str">
        <f>IF(ISNUMBER(Datos!H54),$I$3*(1+Datos!H54)/Datos!B54,"-")</f>
        <v>-</v>
      </c>
      <c r="J53" s="9" t="str">
        <f>IF(AND(ISNUMBER(I53),ISNUMBER($B$2)),((I53*Datos!$B54)/(1+Datos!$C54)/$B$2)-1,IF(ISNUMBER($B$2),"-","INSERTAR COSTO"))</f>
        <v>INSERTAR COSTO</v>
      </c>
      <c r="K53" s="48">
        <f>$K$3*(1+Datos!D54)/Datos!B54</f>
        <v>0</v>
      </c>
      <c r="L53" s="9" t="str">
        <f>IF(ISNUMBER($B$2),((K53*Datos!$B54)/(1+Datos!$C54)/$B$2)-1,"INSERTAR COSTO")</f>
        <v>INSERTAR COSTO</v>
      </c>
    </row>
    <row r="54" spans="1:13" ht="14.5" customHeight="1" x14ac:dyDescent="0.35">
      <c r="A54" s="26" t="str">
        <f>Datos!A55</f>
        <v>CREDIMAS</v>
      </c>
      <c r="B54" s="27" t="s">
        <v>67</v>
      </c>
      <c r="C54" s="48" t="str">
        <f>IF(ISNUMBER(Datos!E55),$C$3*(1+Datos!E55)/Datos!B55,"-")</f>
        <v>-</v>
      </c>
      <c r="D54" s="9" t="str">
        <f>IF(AND(ISNUMBER(C54),ISNUMBER($B$2)),((C54*Datos!$B55)/(1+Datos!$C55)/$B$2)-1,IF(ISNUMBER($B$2),"-","INSERTAR COSTO"))</f>
        <v>INSERTAR COSTO</v>
      </c>
      <c r="E54" s="48" t="str">
        <f>IF(ISNUMBER(Datos!F55),$E$3*(1+Datos!F55)/Datos!B55,"-")</f>
        <v>-</v>
      </c>
      <c r="F54" s="9" t="str">
        <f>IF(AND(ISNUMBER(E54),ISNUMBER($B$2)),((E54*Datos!$B55)/(1+Datos!$C55)/$B$2)-1,IF(ISNUMBER($B$2),"-","INSERTAR COSTO"))</f>
        <v>INSERTAR COSTO</v>
      </c>
      <c r="G54" s="48" t="str">
        <f>IF(ISNUMBER(Datos!G55),$G$3*(1+Datos!G55)/Datos!B55,"-")</f>
        <v>-</v>
      </c>
      <c r="H54" s="9" t="str">
        <f>IF(AND(ISNUMBER(G54),ISNUMBER($B$2)),((G54*Datos!$B55)/(1+Datos!$C55)/$B$2)-1,IF(ISNUMBER($B$2),"-","INSERTAR COSTO"))</f>
        <v>INSERTAR COSTO</v>
      </c>
      <c r="I54" s="48" t="str">
        <f>IF(ISNUMBER(Datos!H55),$I$3*(1+Datos!H55)/Datos!B55,"-")</f>
        <v>-</v>
      </c>
      <c r="J54" s="9" t="str">
        <f>IF(AND(ISNUMBER(I54),ISNUMBER($B$2)),((I54*Datos!$B55)/(1+Datos!$C55)/$B$2)-1,IF(ISNUMBER($B$2),"-","INSERTAR COSTO"))</f>
        <v>INSERTAR COSTO</v>
      </c>
      <c r="K54" s="48">
        <f>$K$3*(1+Datos!D55)/Datos!B55</f>
        <v>0</v>
      </c>
      <c r="L54" s="9" t="str">
        <f>IF(ISNUMBER($B$2),((K54*Datos!$B55)/(1+Datos!$C55)/$B$2)-1,"INSERTAR COSTO")</f>
        <v>INSERTAR COSTO</v>
      </c>
    </row>
    <row r="55" spans="1:13" ht="14.5" customHeight="1" x14ac:dyDescent="0.35">
      <c r="A55" s="26" t="str">
        <f>Datos!A56</f>
        <v>CREDIMAS</v>
      </c>
      <c r="B55" s="27" t="s">
        <v>68</v>
      </c>
      <c r="C55" s="48" t="str">
        <f>IF(ISNUMBER(Datos!E56),$C$3*(1+Datos!E56)/Datos!B56,"-")</f>
        <v>-</v>
      </c>
      <c r="D55" s="9" t="str">
        <f>IF(AND(ISNUMBER(C55),ISNUMBER($B$2)),((C55*Datos!$B56)/(1+Datos!$C56)/$B$2)-1,IF(ISNUMBER($B$2),"-","INSERTAR COSTO"))</f>
        <v>INSERTAR COSTO</v>
      </c>
      <c r="E55" s="48" t="str">
        <f>IF(ISNUMBER(Datos!F56),$E$3*(1+Datos!F56)/Datos!B56,"-")</f>
        <v>-</v>
      </c>
      <c r="F55" s="9" t="str">
        <f>IF(AND(ISNUMBER(E55),ISNUMBER($B$2)),((E55*Datos!$B56)/(1+Datos!$C56)/$B$2)-1,IF(ISNUMBER($B$2),"-","INSERTAR COSTO"))</f>
        <v>INSERTAR COSTO</v>
      </c>
      <c r="G55" s="48" t="str">
        <f>IF(ISNUMBER(Datos!G56),$G$3*(1+Datos!G56)/Datos!B56,"-")</f>
        <v>-</v>
      </c>
      <c r="H55" s="9" t="str">
        <f>IF(AND(ISNUMBER(G55),ISNUMBER($B$2)),((G55*Datos!$B56)/(1+Datos!$C56)/$B$2)-1,IF(ISNUMBER($B$2),"-","INSERTAR COSTO"))</f>
        <v>INSERTAR COSTO</v>
      </c>
      <c r="I55" s="48" t="str">
        <f>IF(ISNUMBER(Datos!H56),$I$3*(1+Datos!H56)/Datos!B56,"-")</f>
        <v>-</v>
      </c>
      <c r="J55" s="9" t="str">
        <f>IF(AND(ISNUMBER(I55),ISNUMBER($B$2)),((I55*Datos!$B56)/(1+Datos!$C56)/$B$2)-1,IF(ISNUMBER($B$2),"-","INSERTAR COSTO"))</f>
        <v>INSERTAR COSTO</v>
      </c>
      <c r="K55" s="48">
        <f>$K$3*(1+Datos!D56)/Datos!B56</f>
        <v>0</v>
      </c>
      <c r="L55" s="9" t="str">
        <f>IF(ISNUMBER($B$2),((K55*Datos!$B56)/(1+Datos!$C56)/$B$2)-1,"INSERTAR COSTO")</f>
        <v>INSERTAR COSTO</v>
      </c>
    </row>
    <row r="56" spans="1:13" ht="14.5" customHeight="1" x14ac:dyDescent="0.35">
      <c r="A56" s="28" t="str">
        <f>Datos!A57</f>
        <v>SUCRÉDITO</v>
      </c>
      <c r="B56" s="29" t="s">
        <v>66</v>
      </c>
      <c r="C56" s="48" t="str">
        <f>IF(ISNUMBER(Datos!E57),$C$3*(1+Datos!E57)/Datos!B57,"-")</f>
        <v>-</v>
      </c>
      <c r="D56" s="9" t="str">
        <f>IF(AND(ISNUMBER(C56),ISNUMBER($B$2)),((C56*Datos!$B57)/(1+Datos!$C57)/$B$2)-1,IF(ISNUMBER($B$2),"-","INSERTAR COSTO"))</f>
        <v>INSERTAR COSTO</v>
      </c>
      <c r="E56" s="48" t="str">
        <f>IF(ISNUMBER(Datos!F57),$E$3*(1+Datos!F57)/Datos!B57,"-")</f>
        <v>-</v>
      </c>
      <c r="F56" s="9" t="str">
        <f>IF(AND(ISNUMBER(E56),ISNUMBER($B$2)),((E56*Datos!$B57)/(1+Datos!$C57)/$B$2)-1,IF(ISNUMBER($B$2),"-","INSERTAR COSTO"))</f>
        <v>INSERTAR COSTO</v>
      </c>
      <c r="G56" s="48" t="str">
        <f>IF(ISNUMBER(Datos!G57),$G$3*(1+Datos!G57)/Datos!B57,"-")</f>
        <v>-</v>
      </c>
      <c r="H56" s="9" t="str">
        <f>IF(AND(ISNUMBER(G56),ISNUMBER($B$2)),((G56*Datos!$B57)/(1+Datos!$C57)/$B$2)-1,IF(ISNUMBER($B$2),"-","INSERTAR COSTO"))</f>
        <v>INSERTAR COSTO</v>
      </c>
      <c r="I56" s="48" t="str">
        <f>IF(ISNUMBER(Datos!H57),$I$3*(1+Datos!H57)/Datos!B57,"-")</f>
        <v>-</v>
      </c>
      <c r="J56" s="9" t="str">
        <f>IF(AND(ISNUMBER(I56),ISNUMBER($B$2)),((I56*Datos!$B57)/(1+Datos!$C57)/$B$2)-1,IF(ISNUMBER($B$2),"-","INSERTAR COSTO"))</f>
        <v>INSERTAR COSTO</v>
      </c>
      <c r="K56" s="48">
        <f>$K$3*(1+Datos!D57)/Datos!B57</f>
        <v>0</v>
      </c>
      <c r="L56" s="9" t="str">
        <f>IF(ISNUMBER($B$2),((K56*Datos!$B57)/(1+Datos!$C57)/$B$2)-1,"INSERTAR COSTO")</f>
        <v>INSERTAR COSTO</v>
      </c>
      <c r="M56" s="49"/>
    </row>
    <row r="57" spans="1:13" ht="14.5" customHeight="1" x14ac:dyDescent="0.35">
      <c r="A57" s="28" t="str">
        <f>Datos!A58</f>
        <v>SUCRÉDITO</v>
      </c>
      <c r="B57" s="29" t="s">
        <v>70</v>
      </c>
      <c r="C57" s="48" t="str">
        <f>IF(ISNUMBER(Datos!E58),$C$3*(1+Datos!E58)/Datos!B58,"-")</f>
        <v>-</v>
      </c>
      <c r="D57" s="9" t="str">
        <f>IF(AND(ISNUMBER(C57),ISNUMBER($B$2)),((C57*Datos!$B58)/(1+Datos!$C58)/$B$2)-1,IF(ISNUMBER($B$2),"-","INSERTAR COSTO"))</f>
        <v>INSERTAR COSTO</v>
      </c>
      <c r="E57" s="48" t="str">
        <f>IF(ISNUMBER(Datos!F58),$E$3*(1+Datos!F58)/Datos!B58,"-")</f>
        <v>-</v>
      </c>
      <c r="F57" s="9" t="str">
        <f>IF(AND(ISNUMBER(E57),ISNUMBER($B$2)),((E57*Datos!$B58)/(1+Datos!$C58)/$B$2)-1,IF(ISNUMBER($B$2),"-","INSERTAR COSTO"))</f>
        <v>INSERTAR COSTO</v>
      </c>
      <c r="G57" s="48" t="str">
        <f>IF(ISNUMBER(Datos!G58),$G$3*(1+Datos!G58)/Datos!B58,"-")</f>
        <v>-</v>
      </c>
      <c r="H57" s="9" t="str">
        <f>IF(AND(ISNUMBER(G57),ISNUMBER($B$2)),((G57*Datos!$B58)/(1+Datos!$C58)/$B$2)-1,IF(ISNUMBER($B$2),"-","INSERTAR COSTO"))</f>
        <v>INSERTAR COSTO</v>
      </c>
      <c r="I57" s="48" t="str">
        <f>IF(ISNUMBER(Datos!H58),$I$3*(1+Datos!H58)/Datos!B58,"-")</f>
        <v>-</v>
      </c>
      <c r="J57" s="9" t="str">
        <f>IF(AND(ISNUMBER(I57),ISNUMBER($B$2)),((I57*Datos!$B58)/(1+Datos!$C58)/$B$2)-1,IF(ISNUMBER($B$2),"-","INSERTAR COSTO"))</f>
        <v>INSERTAR COSTO</v>
      </c>
      <c r="K57" s="48">
        <f>$K$3*(1+Datos!D58)/Datos!B58</f>
        <v>0</v>
      </c>
      <c r="L57" s="9" t="str">
        <f>IF(ISNUMBER($B$2),((K57*Datos!$B58)/(1+Datos!$C58)/$B$2)-1,"INSERTAR COSTO")</f>
        <v>INSERTAR COSTO</v>
      </c>
    </row>
    <row r="58" spans="1:13" ht="14.5" customHeight="1" x14ac:dyDescent="0.35">
      <c r="A58" s="28" t="str">
        <f>Datos!A59</f>
        <v>SUCRÉDITO</v>
      </c>
      <c r="B58" s="29" t="s">
        <v>71</v>
      </c>
      <c r="C58" s="48" t="str">
        <f>IF(ISNUMBER(Datos!E59),$C$3*(1+Datos!E59)/Datos!B59,"-")</f>
        <v>-</v>
      </c>
      <c r="D58" s="9" t="str">
        <f>IF(AND(ISNUMBER(C58),ISNUMBER($B$2)),((C58*Datos!$B59)/(1+Datos!$C59)/$B$2)-1,IF(ISNUMBER($B$2),"-","INSERTAR COSTO"))</f>
        <v>INSERTAR COSTO</v>
      </c>
      <c r="E58" s="48" t="str">
        <f>IF(ISNUMBER(Datos!F59),$E$3*(1+Datos!F59)/Datos!B59,"-")</f>
        <v>-</v>
      </c>
      <c r="F58" s="9" t="str">
        <f>IF(AND(ISNUMBER(E58),ISNUMBER($B$2)),((E58*Datos!$B59)/(1+Datos!$C59)/$B$2)-1,IF(ISNUMBER($B$2),"-","INSERTAR COSTO"))</f>
        <v>INSERTAR COSTO</v>
      </c>
      <c r="G58" s="48" t="str">
        <f>IF(ISNUMBER(Datos!G59),$G$3*(1+Datos!G59)/Datos!B59,"-")</f>
        <v>-</v>
      </c>
      <c r="H58" s="9" t="str">
        <f>IF(AND(ISNUMBER(G58),ISNUMBER($B$2)),((G58*Datos!$B59)/(1+Datos!$C59)/$B$2)-1,IF(ISNUMBER($B$2),"-","INSERTAR COSTO"))</f>
        <v>INSERTAR COSTO</v>
      </c>
      <c r="I58" s="48" t="str">
        <f>IF(ISNUMBER(Datos!H59),$I$3*(1+Datos!H59)/Datos!B59,"-")</f>
        <v>-</v>
      </c>
      <c r="J58" s="9" t="str">
        <f>IF(AND(ISNUMBER(I58),ISNUMBER($B$2)),((I58*Datos!$B59)/(1+Datos!$C59)/$B$2)-1,IF(ISNUMBER($B$2),"-","INSERTAR COSTO"))</f>
        <v>INSERTAR COSTO</v>
      </c>
      <c r="K58" s="48">
        <f>$K$3*(1+Datos!D59)/Datos!B59</f>
        <v>0</v>
      </c>
      <c r="L58" s="9" t="str">
        <f>IF(ISNUMBER($B$2),((K58*Datos!$B59)/(1+Datos!$C59)/$B$2)-1,"INSERTAR COSTO")</f>
        <v>INSERTAR COSTO</v>
      </c>
    </row>
    <row r="59" spans="1:13" ht="14.5" customHeight="1" x14ac:dyDescent="0.35">
      <c r="A59" s="28" t="str">
        <f>Datos!A60</f>
        <v>SUCRÉDITO</v>
      </c>
      <c r="B59" s="29" t="s">
        <v>72</v>
      </c>
      <c r="C59" s="48" t="str">
        <f>IF(ISNUMBER(Datos!E60),$C$3*(1+Datos!E60)/Datos!B60,"-")</f>
        <v>-</v>
      </c>
      <c r="D59" s="9" t="str">
        <f>IF(AND(ISNUMBER(C59),ISNUMBER($B$2)),((C59*Datos!$B60)/(1+Datos!$C60)/$B$2)-1,IF(ISNUMBER($B$2),"-","INSERTAR COSTO"))</f>
        <v>INSERTAR COSTO</v>
      </c>
      <c r="E59" s="48" t="str">
        <f>IF(ISNUMBER(Datos!F60),$E$3*(1+Datos!F60)/Datos!B60,"-")</f>
        <v>-</v>
      </c>
      <c r="F59" s="9" t="str">
        <f>IF(AND(ISNUMBER(E59),ISNUMBER($B$2)),((E59*Datos!$B60)/(1+Datos!$C60)/$B$2)-1,IF(ISNUMBER($B$2),"-","INSERTAR COSTO"))</f>
        <v>INSERTAR COSTO</v>
      </c>
      <c r="G59" s="48" t="str">
        <f>IF(ISNUMBER(Datos!G60),$G$3*(1+Datos!G60)/Datos!B60,"-")</f>
        <v>-</v>
      </c>
      <c r="H59" s="9" t="str">
        <f>IF(AND(ISNUMBER(G59),ISNUMBER($B$2)),((G59*Datos!$B60)/(1+Datos!$C60)/$B$2)-1,IF(ISNUMBER($B$2),"-","INSERTAR COSTO"))</f>
        <v>INSERTAR COSTO</v>
      </c>
      <c r="I59" s="48" t="str">
        <f>IF(ISNUMBER(Datos!H60),$I$3*(1+Datos!H60)/Datos!B60,"-")</f>
        <v>-</v>
      </c>
      <c r="J59" s="9" t="str">
        <f>IF(AND(ISNUMBER(I59),ISNUMBER($B$2)),((I59*Datos!$B60)/(1+Datos!$C60)/$B$2)-1,IF(ISNUMBER($B$2),"-","INSERTAR COSTO"))</f>
        <v>INSERTAR COSTO</v>
      </c>
      <c r="K59" s="48">
        <f>$K$3*(1+Datos!D60)/Datos!B60</f>
        <v>0</v>
      </c>
      <c r="L59" s="9" t="str">
        <f>IF(ISNUMBER($B$2),((K59*Datos!$B60)/(1+Datos!$C60)/$B$2)-1,"INSERTAR COSTO")</f>
        <v>INSERTAR COSTO</v>
      </c>
    </row>
    <row r="60" spans="1:13" ht="14.5" customHeight="1" x14ac:dyDescent="0.35">
      <c r="A60" s="28" t="str">
        <f>Datos!A61</f>
        <v>SUCRÉDITO</v>
      </c>
      <c r="B60" s="29" t="s">
        <v>73</v>
      </c>
      <c r="C60" s="48" t="str">
        <f>IF(ISNUMBER(Datos!E61),$C$3*(1+Datos!E61)/Datos!B61,"-")</f>
        <v>-</v>
      </c>
      <c r="D60" s="9" t="str">
        <f>IF(AND(ISNUMBER(C60),ISNUMBER($B$2)),((C60*Datos!$B61)/(1+Datos!$C61)/$B$2)-1,IF(ISNUMBER($B$2),"-","INSERTAR COSTO"))</f>
        <v>INSERTAR COSTO</v>
      </c>
      <c r="E60" s="48" t="str">
        <f>IF(ISNUMBER(Datos!F61),$E$3*(1+Datos!F61)/Datos!B61,"-")</f>
        <v>-</v>
      </c>
      <c r="F60" s="9" t="str">
        <f>IF(AND(ISNUMBER(E60),ISNUMBER($B$2)),((E60*Datos!$B61)/(1+Datos!$C61)/$B$2)-1,IF(ISNUMBER($B$2),"-","INSERTAR COSTO"))</f>
        <v>INSERTAR COSTO</v>
      </c>
      <c r="G60" s="48" t="str">
        <f>IF(ISNUMBER(Datos!G61),$G$3*(1+Datos!G61)/Datos!B61,"-")</f>
        <v>-</v>
      </c>
      <c r="H60" s="9" t="str">
        <f>IF(AND(ISNUMBER(G60),ISNUMBER($B$2)),((G60*Datos!$B61)/(1+Datos!$C61)/$B$2)-1,IF(ISNUMBER($B$2),"-","INSERTAR COSTO"))</f>
        <v>INSERTAR COSTO</v>
      </c>
      <c r="I60" s="48" t="str">
        <f>IF(ISNUMBER(Datos!H61),$I$3*(1+Datos!H61)/Datos!B61,"-")</f>
        <v>-</v>
      </c>
      <c r="J60" s="9" t="str">
        <f>IF(AND(ISNUMBER(I60),ISNUMBER($B$2)),((I60*Datos!$B61)/(1+Datos!$C61)/$B$2)-1,IF(ISNUMBER($B$2),"-","INSERTAR COSTO"))</f>
        <v>INSERTAR COSTO</v>
      </c>
      <c r="K60" s="48">
        <f>$K$3*(1+Datos!D61)/Datos!B61</f>
        <v>0</v>
      </c>
      <c r="L60" s="9" t="str">
        <f>IF(ISNUMBER($B$2),((K60*Datos!$B61)/(1+Datos!$C61)/$B$2)-1,"INSERTAR COSTO")</f>
        <v>INSERTAR COSTO</v>
      </c>
    </row>
    <row r="61" spans="1:13" ht="14.5" customHeight="1" x14ac:dyDescent="0.35">
      <c r="A61" s="28" t="str">
        <f>Datos!A62</f>
        <v>SUCRÉDITO</v>
      </c>
      <c r="B61" s="29" t="s">
        <v>74</v>
      </c>
      <c r="C61" s="48" t="str">
        <f>IF(ISNUMBER(Datos!E62),$C$3*(1+Datos!E62)/Datos!B62,"-")</f>
        <v>-</v>
      </c>
      <c r="D61" s="9" t="str">
        <f>IF(AND(ISNUMBER(C61),ISNUMBER($B$2)),((C61*Datos!$B62)/(1+Datos!$C62)/$B$2)-1,IF(ISNUMBER($B$2),"-","INSERTAR COSTO"))</f>
        <v>INSERTAR COSTO</v>
      </c>
      <c r="E61" s="48" t="str">
        <f>IF(ISNUMBER(Datos!F62),$E$3*(1+Datos!F62)/Datos!B62,"-")</f>
        <v>-</v>
      </c>
      <c r="F61" s="9" t="str">
        <f>IF(AND(ISNUMBER(E61),ISNUMBER($B$2)),((E61*Datos!$B62)/(1+Datos!$C62)/$B$2)-1,IF(ISNUMBER($B$2),"-","INSERTAR COSTO"))</f>
        <v>INSERTAR COSTO</v>
      </c>
      <c r="G61" s="48" t="str">
        <f>IF(ISNUMBER(Datos!G62),$G$3*(1+Datos!G62)/Datos!B62,"-")</f>
        <v>-</v>
      </c>
      <c r="H61" s="9" t="str">
        <f>IF(AND(ISNUMBER(G61),ISNUMBER($B$2)),((G61*Datos!$B62)/(1+Datos!$C62)/$B$2)-1,IF(ISNUMBER($B$2),"-","INSERTAR COSTO"))</f>
        <v>INSERTAR COSTO</v>
      </c>
      <c r="I61" s="48" t="str">
        <f>IF(ISNUMBER(Datos!H62),$I$3*(1+Datos!H62)/Datos!B62,"-")</f>
        <v>-</v>
      </c>
      <c r="J61" s="9" t="str">
        <f>IF(AND(ISNUMBER(I61),ISNUMBER($B$2)),((I61*Datos!$B62)/(1+Datos!$C62)/$B$2)-1,IF(ISNUMBER($B$2),"-","INSERTAR COSTO"))</f>
        <v>INSERTAR COSTO</v>
      </c>
      <c r="K61" s="48">
        <f>$K$3*(1+Datos!D62)/Datos!B62</f>
        <v>0</v>
      </c>
      <c r="L61" s="9" t="str">
        <f>IF(ISNUMBER($B$2),((K61*Datos!$B62)/(1+Datos!$C62)/$B$2)-1,"INSERTAR COSTO")</f>
        <v>INSERTAR COSTO</v>
      </c>
    </row>
    <row r="62" spans="1:13" ht="14.5" customHeight="1" x14ac:dyDescent="0.35">
      <c r="A62" s="28" t="str">
        <f>Datos!A63</f>
        <v>SUCRÉDITO</v>
      </c>
      <c r="B62" s="31" t="s">
        <v>75</v>
      </c>
      <c r="C62" s="48" t="str">
        <f>IF(ISNUMBER(Datos!E63),$C$3*(1+Datos!E63)/Datos!B63,"-")</f>
        <v>-</v>
      </c>
      <c r="D62" s="9" t="str">
        <f>IF(AND(ISNUMBER(C62),ISNUMBER($B$2)),((C62*Datos!$B63)/(1+Datos!$C63)/$B$2)-1,IF(ISNUMBER($B$2),"-","INSERTAR COSTO"))</f>
        <v>INSERTAR COSTO</v>
      </c>
      <c r="E62" s="48" t="str">
        <f>IF(ISNUMBER(Datos!F63),$E$3*(1+Datos!F63)/Datos!B63,"-")</f>
        <v>-</v>
      </c>
      <c r="F62" s="9" t="str">
        <f>IF(AND(ISNUMBER(E62),ISNUMBER($B$2)),((E62*Datos!$B63)/(1+Datos!$C63)/$B$2)-1,IF(ISNUMBER($B$2),"-","INSERTAR COSTO"))</f>
        <v>INSERTAR COSTO</v>
      </c>
      <c r="G62" s="48" t="str">
        <f>IF(ISNUMBER(Datos!G63),$G$3*(1+Datos!G63)/Datos!B63,"-")</f>
        <v>-</v>
      </c>
      <c r="H62" s="9" t="str">
        <f>IF(AND(ISNUMBER(G62),ISNUMBER($B$2)),((G62*Datos!$B63)/(1+Datos!$C63)/$B$2)-1,IF(ISNUMBER($B$2),"-","INSERTAR COSTO"))</f>
        <v>INSERTAR COSTO</v>
      </c>
      <c r="I62" s="48" t="str">
        <f>IF(ISNUMBER(Datos!H63),$I$3*(1+Datos!H63)/Datos!B63,"-")</f>
        <v>-</v>
      </c>
      <c r="J62" s="9" t="str">
        <f>IF(AND(ISNUMBER(I62),ISNUMBER($B$2)),((I62*Datos!$B63)/(1+Datos!$C63)/$B$2)-1,IF(ISNUMBER($B$2),"-","INSERTAR COSTO"))</f>
        <v>INSERTAR COSTO</v>
      </c>
      <c r="K62" s="48">
        <f>$K$3*(1+Datos!D63)/Datos!B63</f>
        <v>0</v>
      </c>
      <c r="L62" s="9" t="str">
        <f>IF(ISNUMBER($B$2),((K62*Datos!$B63)/(1+Datos!$C63)/$B$2)-1,"INSERTAR COSTO")</f>
        <v>INSERTAR COSTO</v>
      </c>
    </row>
    <row r="63" spans="1:13" ht="14.5" hidden="1" customHeight="1" x14ac:dyDescent="0.35">
      <c r="A63" s="32" t="str">
        <f>Datos!A64</f>
        <v>PAYWAY</v>
      </c>
      <c r="B63" s="33" t="s">
        <v>77</v>
      </c>
      <c r="C63" s="8" t="s">
        <v>11</v>
      </c>
      <c r="D63" s="8" t="s">
        <v>11</v>
      </c>
      <c r="E63" s="8" t="s">
        <v>11</v>
      </c>
      <c r="F63" s="8" t="s">
        <v>11</v>
      </c>
      <c r="G63" s="8" t="s">
        <v>11</v>
      </c>
      <c r="H63" s="8" t="s">
        <v>11</v>
      </c>
      <c r="I63" s="8" t="s">
        <v>11</v>
      </c>
      <c r="J63" s="9" t="str">
        <f>IF(AND(ISNUMBER(I63),ISNUMBER($B$2)),((I63*Datos!$B64)/(1+Datos!$C64)/$B$2)-1,IF(ISNUMBER($B$2),"-","INSERTAR COSTO"))</f>
        <v>INSERTAR COSTO</v>
      </c>
      <c r="K63" s="48">
        <f>$K$3*(1+Datos!D64)/Datos!B64</f>
        <v>0</v>
      </c>
      <c r="L63" s="9" t="str">
        <f>IF(ISNUMBER($B$2),((K63*Datos!$B64)/(1+Datos!$C64)/$B$2)-1,"INSERTAR COSTO")</f>
        <v>INSERTAR COSTO</v>
      </c>
    </row>
    <row r="64" spans="1:13" ht="14.5" hidden="1" customHeight="1" x14ac:dyDescent="0.35">
      <c r="A64" s="32" t="str">
        <f>Datos!A65</f>
        <v>PAYWAY</v>
      </c>
      <c r="B64" s="34" t="s">
        <v>78</v>
      </c>
      <c r="C64" s="8" t="s">
        <v>11</v>
      </c>
      <c r="D64" s="8" t="s">
        <v>11</v>
      </c>
      <c r="E64" s="8" t="s">
        <v>11</v>
      </c>
      <c r="F64" s="8" t="s">
        <v>11</v>
      </c>
      <c r="G64" s="8" t="s">
        <v>11</v>
      </c>
      <c r="H64" s="8" t="s">
        <v>11</v>
      </c>
      <c r="I64" s="8" t="s">
        <v>11</v>
      </c>
      <c r="J64" s="9" t="str">
        <f>IF(AND(ISNUMBER(I64),ISNUMBER($B$2)),((I64*Datos!$B65)/(1+Datos!$C65)/$B$2)-1,IF(ISNUMBER($B$2),"-","INSERTAR COSTO"))</f>
        <v>INSERTAR COSTO</v>
      </c>
      <c r="K64" s="48">
        <f>$K$3*(1+Datos!D65)/Datos!B65</f>
        <v>0</v>
      </c>
      <c r="L64" s="9" t="str">
        <f>IF(ISNUMBER($B$2),((K64*Datos!$B65)/(1+Datos!$C65)/$B$2)-1,"INSERTAR COSTO")</f>
        <v>INSERTAR COSTO</v>
      </c>
    </row>
  </sheetData>
  <mergeCells count="5">
    <mergeCell ref="C1:D1"/>
    <mergeCell ref="G1:H1"/>
    <mergeCell ref="E1:F1"/>
    <mergeCell ref="K1:L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Análisis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Sanson</dc:creator>
  <cp:lastModifiedBy>Franco Sanson</cp:lastModifiedBy>
  <dcterms:created xsi:type="dcterms:W3CDTF">2026-04-29T18:55:41Z</dcterms:created>
  <dcterms:modified xsi:type="dcterms:W3CDTF">2026-05-05T18:22:55Z</dcterms:modified>
</cp:coreProperties>
</file>